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A 2026" sheetId="1" r:id="rId5"/>
    <sheet state="visible" name="NO corre" sheetId="2" r:id="rId6"/>
  </sheets>
  <definedNames>
    <definedName hidden="1" localSheetId="0" name="_xlnm._FilterDatabase">'SBA 2026'!$A$4:$CS$380</definedName>
  </definedNames>
  <calcPr/>
</workbook>
</file>

<file path=xl/sharedStrings.xml><?xml version="1.0" encoding="utf-8"?>
<sst xmlns="http://schemas.openxmlformats.org/spreadsheetml/2006/main" count="10071" uniqueCount="2924">
  <si>
    <t>OBS</t>
  </si>
  <si>
    <t>ACRED</t>
  </si>
  <si>
    <t>FAY</t>
  </si>
  <si>
    <t>FAY TRIP</t>
  </si>
  <si>
    <t>PAGO</t>
  </si>
  <si>
    <t>ID</t>
  </si>
  <si>
    <t>NO ACRED</t>
  </si>
  <si>
    <t>ID Trip</t>
  </si>
  <si>
    <t>MP</t>
  </si>
  <si>
    <t>status</t>
  </si>
  <si>
    <t>currency</t>
  </si>
  <si>
    <t>date_created</t>
  </si>
  <si>
    <t>date_modified</t>
  </si>
  <si>
    <t>total</t>
  </si>
  <si>
    <t>customer_id</t>
  </si>
  <si>
    <t>order_first_name</t>
  </si>
  <si>
    <t>order_last_name</t>
  </si>
  <si>
    <t>order_company</t>
  </si>
  <si>
    <t>order_address_1</t>
  </si>
  <si>
    <t>order_address_2</t>
  </si>
  <si>
    <t>order_city</t>
  </si>
  <si>
    <t>order_state</t>
  </si>
  <si>
    <t>order_postcode</t>
  </si>
  <si>
    <t>order_country</t>
  </si>
  <si>
    <t>order_email</t>
  </si>
  <si>
    <t>order_phone</t>
  </si>
  <si>
    <t>payment_method_title</t>
  </si>
  <si>
    <t>customer_note</t>
  </si>
  <si>
    <t>date_completed</t>
  </si>
  <si>
    <t>date_paid</t>
  </si>
  <si>
    <t>order_url</t>
  </si>
  <si>
    <t>payment_url</t>
  </si>
  <si>
    <t>date_created_gmt</t>
  </si>
  <si>
    <t>date_modified_gmt</t>
  </si>
  <si>
    <t>date_completed_gmt</t>
  </si>
  <si>
    <t>date_paid_gmt</t>
  </si>
  <si>
    <t>product_id</t>
  </si>
  <si>
    <t>CLASE</t>
  </si>
  <si>
    <t>SUB10-12</t>
  </si>
  <si>
    <t>FEM</t>
  </si>
  <si>
    <t>BARCO</t>
  </si>
  <si>
    <t>PAÍS</t>
  </si>
  <si>
    <t>VELA</t>
  </si>
  <si>
    <t>PROA</t>
  </si>
  <si>
    <t>CLUB</t>
  </si>
  <si>
    <t>NOMBRE</t>
  </si>
  <si>
    <t>APELLIDO</t>
  </si>
  <si>
    <t>DNI</t>
  </si>
  <si>
    <t>GENERO</t>
  </si>
  <si>
    <t>CELULAR</t>
  </si>
  <si>
    <t>MAIL</t>
  </si>
  <si>
    <t>NAC</t>
  </si>
  <si>
    <t>COBERTURA</t>
  </si>
  <si>
    <t>REMERA</t>
  </si>
  <si>
    <t>TIMO SAILOR ID</t>
  </si>
  <si>
    <t>TRIP SAILOR ID</t>
  </si>
  <si>
    <t xml:space="preserve">NOMBRE </t>
  </si>
  <si>
    <t>TRIP ID</t>
  </si>
  <si>
    <t>INSC. PRINCI:</t>
  </si>
  <si>
    <t>NO</t>
  </si>
  <si>
    <t>SI</t>
  </si>
  <si>
    <t>processing</t>
  </si>
  <si>
    <t>ARS</t>
  </si>
  <si>
    <t>170000.00</t>
  </si>
  <si>
    <t>Gabriel Leandro</t>
  </si>
  <si>
    <t>Rua</t>
  </si>
  <si>
    <t>1643 martiniano chilabert</t>
  </si>
  <si>
    <t>MAR DEL PLATA</t>
  </si>
  <si>
    <t>B</t>
  </si>
  <si>
    <t>AR</t>
  </si>
  <si>
    <t>gabrielrua@hotmail.com</t>
  </si>
  <si>
    <t>Paga con tarjetas de dÃ©bito y crÃ©dito</t>
  </si>
  <si>
    <t>https://yca.org.ar/home/shop/checkout/order-received/47122/?key=wc_order_Vs76oDQ9lRttW</t>
  </si>
  <si>
    <t>https://yca.org.ar/home/shop/checkout/order-pay/47122/?pay_for_order=true&amp;key=wc_order_Vs76oDQ9lRttW</t>
  </si>
  <si>
    <t>OPTIMIST PRINCIPIANTES</t>
  </si>
  <si>
    <t>Principiantes</t>
  </si>
  <si>
    <t>ARG</t>
  </si>
  <si>
    <t>CNMP</t>
  </si>
  <si>
    <t>Olivia</t>
  </si>
  <si>
    <t>Femenino / Female</t>
  </si>
  <si>
    <t>Swiss medical</t>
  </si>
  <si>
    <t>M</t>
  </si>
  <si>
    <t>INSC. TIMO:</t>
  </si>
  <si>
    <t>OPTIMIST TIMONELES</t>
  </si>
  <si>
    <t>A LA CTA.</t>
  </si>
  <si>
    <t>on-hold</t>
  </si>
  <si>
    <t>Martin</t>
  </si>
  <si>
    <t>Kundig</t>
  </si>
  <si>
    <t>Aristobulo Del Valle 5155, Lote 320</t>
  </si>
  <si>
    <t>Barrio San Francisco</t>
  </si>
  <si>
    <t>Dique Lujan</t>
  </si>
  <si>
    <t>martin.kundig@gmail.com</t>
  </si>
  <si>
    <t>Cuenta Corriente Socio YCA</t>
  </si>
  <si>
    <t>https://yca.org.ar/home/shop/checkout/order-received/46688/?key=wc_order_289G7XRYYSpG4</t>
  </si>
  <si>
    <t>https://yca.org.ar/home/shop/checkout/order-pay/46688/?pay_for_order=true&amp;key=wc_order_289G7XRYYSpG4</t>
  </si>
  <si>
    <t>SUB10</t>
  </si>
  <si>
    <t>Zanahor1a</t>
  </si>
  <si>
    <t>YCA</t>
  </si>
  <si>
    <t>Agustín</t>
  </si>
  <si>
    <t>Masculino / Male</t>
  </si>
  <si>
    <t>OSDE</t>
  </si>
  <si>
    <t>S</t>
  </si>
  <si>
    <t>Adriana</t>
  </si>
  <si>
    <t>Barbera</t>
  </si>
  <si>
    <t>Laprida 249</t>
  </si>
  <si>
    <t>AVELLANEDA</t>
  </si>
  <si>
    <t>adribarbera@gmail.com</t>
  </si>
  <si>
    <t>https://yca.org.ar/home/shop/checkout/order-received/46777/?key=wc_order_PQvKyu2C2qWmf</t>
  </si>
  <si>
    <t>https://yca.org.ar/home/shop/checkout/order-pay/46777/?pay_for_order=true&amp;key=wc_order_PQvKyu2C2qWmf</t>
  </si>
  <si>
    <t>KIKY JR</t>
  </si>
  <si>
    <t>CGLNM</t>
  </si>
  <si>
    <t>Julieta</t>
  </si>
  <si>
    <t>Aldatz</t>
  </si>
  <si>
    <t>Hita</t>
  </si>
  <si>
    <t>fernando</t>
  </si>
  <si>
    <t>Cazon 87</t>
  </si>
  <si>
    <t>X5014</t>
  </si>
  <si>
    <t>ferhita383@gmail.com</t>
  </si>
  <si>
    <t>https://yca.org.ar/home/shop/checkout/order-received/46793/?key=wc_order_DDZVac5hnVUeR</t>
  </si>
  <si>
    <t>https://yca.org.ar/home/shop/checkout/order-pay/46793/?pay_for_order=true&amp;key=wc_order_DDZVac5hnVUeR</t>
  </si>
  <si>
    <t>Francisco</t>
  </si>
  <si>
    <t>osde</t>
  </si>
  <si>
    <t>cristia</t>
  </si>
  <si>
    <t>frers</t>
  </si>
  <si>
    <t>florida 930</t>
  </si>
  <si>
    <t>caba</t>
  </si>
  <si>
    <t>C</t>
  </si>
  <si>
    <t>cristianfrers01@gmail.com</t>
  </si>
  <si>
    <t>https://yca.org.ar/home/shop/checkout/order-received/46839/?key=wc_order_zM456b19CTs9j</t>
  </si>
  <si>
    <t>https://yca.org.ar/home/shop/checkout/order-pay/46839/?pay_for_order=true&amp;key=wc_order_zM456b19CTs9j</t>
  </si>
  <si>
    <t>Clara</t>
  </si>
  <si>
    <t>Frers</t>
  </si>
  <si>
    <t>swissmedical</t>
  </si>
  <si>
    <t>340000.00</t>
  </si>
  <si>
    <t>Santiago</t>
  </si>
  <si>
    <t>Treinta y tres orientales 911</t>
  </si>
  <si>
    <t>Doval</t>
  </si>
  <si>
    <t>Beccar</t>
  </si>
  <si>
    <t>santiago.doval@dovamar.com.ar</t>
  </si>
  <si>
    <t>+54 9 11 5002-2001</t>
  </si>
  <si>
    <t>https://yca.org.ar/home/shop/checkout/order-received/46843/?key=wc_order_zElliwll5mEJ4</t>
  </si>
  <si>
    <t>https://yca.org.ar/home/shop/checkout/order-pay/46843/?pay_for_order=true&amp;key=wc_order_zElliwll5mEJ4</t>
  </si>
  <si>
    <t>Parana</t>
  </si>
  <si>
    <t>Chloé</t>
  </si>
  <si>
    <t>Osde</t>
  </si>
  <si>
    <t>Andres</t>
  </si>
  <si>
    <t>Marcone</t>
  </si>
  <si>
    <t>libertador 5092</t>
  </si>
  <si>
    <t>8B</t>
  </si>
  <si>
    <t>marconeandres@hotmail.com</t>
  </si>
  <si>
    <t>https://yca.org.ar/home/shop/checkout/order-received/46900/?key=wc_order_nxYJNJIaI7auP</t>
  </si>
  <si>
    <t>https://yca.org.ar/home/shop/checkout/order-pay/46900/?pay_for_order=true&amp;key=wc_order_nxYJNJIaI7auP</t>
  </si>
  <si>
    <t>Simea</t>
  </si>
  <si>
    <t>Malena Delfina</t>
  </si>
  <si>
    <t>Sergio</t>
  </si>
  <si>
    <t>Fernandez</t>
  </si>
  <si>
    <t>Av. del Libertador 7548</t>
  </si>
  <si>
    <t>4Âº D</t>
  </si>
  <si>
    <t>Buenos Aires</t>
  </si>
  <si>
    <t>sergiolfernandez@hotmail.com</t>
  </si>
  <si>
    <t>https://yca.org.ar/home/shop/checkout/order-received/46973/?key=wc_order_Gv64s96euwixF</t>
  </si>
  <si>
    <t>https://yca.org.ar/home/shop/checkout/order-pay/46973/?pay_for_order=true&amp;key=wc_order_Gv64s96euwixF</t>
  </si>
  <si>
    <t>Manuel</t>
  </si>
  <si>
    <t>BONIF.</t>
  </si>
  <si>
    <t>CLUB DE YATES</t>
  </si>
  <si>
    <t>HIGUERILLAS</t>
  </si>
  <si>
    <t>Avenida BorgoÃ±o 21555</t>
  </si>
  <si>
    <t>CONCON</t>
  </si>
  <si>
    <t>CL-VS</t>
  </si>
  <si>
    <t>CL</t>
  </si>
  <si>
    <t>gerente@higuerillas.cl</t>
  </si>
  <si>
    <t>Pago en el Club (NO pagan)</t>
  </si>
  <si>
    <t>https://yca.org.ar/home/shop/checkout/order-received/47312/?key=wc_order_YboIoH4XBerIp</t>
  </si>
  <si>
    <t>https://yca.org.ar/home/shop/checkout/order-pay/47312/?pay_for_order=true&amp;key=wc_order_YboIoH4XBerIp</t>
  </si>
  <si>
    <t>LENNY</t>
  </si>
  <si>
    <t>CHI</t>
  </si>
  <si>
    <t>CYH</t>
  </si>
  <si>
    <t>Lenny</t>
  </si>
  <si>
    <t>Álvarez</t>
  </si>
  <si>
    <t>FONASA</t>
  </si>
  <si>
    <t>NO PAGO</t>
  </si>
  <si>
    <t>Luciano</t>
  </si>
  <si>
    <t>bianchi</t>
  </si>
  <si>
    <t>Osvaldo Silva CastellÃ³n 42</t>
  </si>
  <si>
    <t>Antofagasta</t>
  </si>
  <si>
    <t>CL-AN</t>
  </si>
  <si>
    <t>gbasadre@gmail.com</t>
  </si>
  <si>
    <t>Pago en el Club</t>
  </si>
  <si>
    <t>https://yca.org.ar/home/shop/checkout/order-received/47106/?key=wc_order_5ZLFblnCnBKtj</t>
  </si>
  <si>
    <t>https://yca.org.ar/home/shop/checkout/order-pay/47106/?pay_for_order=true&amp;key=wc_order_5ZLFblnCnBKtj</t>
  </si>
  <si>
    <t>optimist</t>
  </si>
  <si>
    <t>CYA</t>
  </si>
  <si>
    <t>Bianchi Basadre</t>
  </si>
  <si>
    <t>Hariri</t>
  </si>
  <si>
    <t>franciscohariri@gmail.com</t>
  </si>
  <si>
    <t>https://yca.org.ar/home/shop/checkout/order-received/47441/?key=wc_order_4lgXS9ZLWqfJK</t>
  </si>
  <si>
    <t>https://yca.org.ar/home/shop/checkout/order-pay/47441/?pay_for_order=true&amp;key=wc_order_4lgXS9ZLWqfJK</t>
  </si>
  <si>
    <t>CUBA</t>
  </si>
  <si>
    <t>Juana</t>
  </si>
  <si>
    <t>Hospital Aleman</t>
  </si>
  <si>
    <t>Luis</t>
  </si>
  <si>
    <t>Hernandez Levio</t>
  </si>
  <si>
    <t>Ticnamar 1754, Cerro Grande</t>
  </si>
  <si>
    <t>La Serena</t>
  </si>
  <si>
    <t>CL-CO</t>
  </si>
  <si>
    <t>hernandezlevio@gmail.com</t>
  </si>
  <si>
    <t>https://yca.org.ar/home/shop/checkout/order-received/46649/?key=wc_order_avF4KGaNGIQaf</t>
  </si>
  <si>
    <t>https://yca.org.ar/home/shop/checkout/order-pay/46649/?pay_for_order=true&amp;key=wc_order_avF4KGaNGIQaf</t>
  </si>
  <si>
    <t>Maite</t>
  </si>
  <si>
    <t>Hernandez Valdivia</t>
  </si>
  <si>
    <t>BNP PARIBAS 124117641</t>
  </si>
  <si>
    <t>Dante</t>
  </si>
  <si>
    <t>Romero Tedeschi</t>
  </si>
  <si>
    <t>H.pueyrredon 465</t>
  </si>
  <si>
    <t>San pedro</t>
  </si>
  <si>
    <t>anitatedeschi1984@gmail.com</t>
  </si>
  <si>
    <t>https://yca.org.ar/home/shop/checkout/order-received/46759/?key=wc_order_GzvkBAFx5xRyR</t>
  </si>
  <si>
    <t>https://yca.org.ar/home/shop/checkout/order-pay/46759/?pay_for_order=true&amp;key=wc_order_GzvkBAFx5xRyR</t>
  </si>
  <si>
    <t>CNSP</t>
  </si>
  <si>
    <t>MARIA FERNANDA</t>
  </si>
  <si>
    <t>TESSANDORI</t>
  </si>
  <si>
    <t>Maestro Don Juan Espinosa 3143</t>
  </si>
  <si>
    <t>Lote 56</t>
  </si>
  <si>
    <t>Cipolletti</t>
  </si>
  <si>
    <t>R</t>
  </si>
  <si>
    <t>mftessan@yahoo.com.ar</t>
  </si>
  <si>
    <t>https://yca.org.ar/home/shop/checkout/order-received/46764/?key=wc_order_yFoKy51svvvty</t>
  </si>
  <si>
    <t>https://yca.org.ar/home/shop/checkout/order-pay/46764/?pay_for_order=true&amp;key=wc_order_yFoKy51svvvty</t>
  </si>
  <si>
    <t>LICEO NAVAL</t>
  </si>
  <si>
    <t>Solana Tessandori</t>
  </si>
  <si>
    <t>swiss medical</t>
  </si>
  <si>
    <t>Alfredo</t>
  </si>
  <si>
    <t>Bertani</t>
  </si>
  <si>
    <t>Don orione 1213</t>
  </si>
  <si>
    <t>Victoria</t>
  </si>
  <si>
    <t>San fernando</t>
  </si>
  <si>
    <t>alfredobertani@gmail.com</t>
  </si>
  <si>
    <t>https://yca.org.ar/home/shop/checkout/order-received/46778/?key=wc_order_by96QgshJSOCf</t>
  </si>
  <si>
    <t>https://yca.org.ar/home/shop/checkout/order-pay/46778/?pay_for_order=true&amp;key=wc_order_by96QgshJSOCf</t>
  </si>
  <si>
    <t>Imagine dragons</t>
  </si>
  <si>
    <t>CVSI</t>
  </si>
  <si>
    <t>Emilia</t>
  </si>
  <si>
    <t>Upcn</t>
  </si>
  <si>
    <t>Juan</t>
  </si>
  <si>
    <t>Sorzana</t>
  </si>
  <si>
    <t>Bv De Todos Los Santos 5601</t>
  </si>
  <si>
    <t>Lote 578</t>
  </si>
  <si>
    <t>juansorzana@gmail.com</t>
  </si>
  <si>
    <t>https://yca.org.ar/home/shop/checkout/order-received/46799/?key=wc_order_LT4bS8ck91bgd</t>
  </si>
  <si>
    <t>https://yca.org.ar/home/shop/checkout/order-pay/46799/?pay_for_order=true&amp;key=wc_order_LT4bS8ck91bgd</t>
  </si>
  <si>
    <t>Tormenta</t>
  </si>
  <si>
    <t>CNSI</t>
  </si>
  <si>
    <t>Swiss Medical</t>
  </si>
  <si>
    <t>Pablo</t>
  </si>
  <si>
    <t>Barlani</t>
  </si>
  <si>
    <t>Miguel de Azcuenaga 1148</t>
  </si>
  <si>
    <t>Vicente Lopez</t>
  </si>
  <si>
    <t>pablobarlani@hotmail.com</t>
  </si>
  <si>
    <t>https://yca.org.ar/home/shop/checkout/order-received/46800/?key=wc_order_NewqtOSEKWDLo</t>
  </si>
  <si>
    <t>https://yca.org.ar/home/shop/checkout/order-pay/46800/?pay_for_order=true&amp;key=wc_order_NewqtOSEKWDLo</t>
  </si>
  <si>
    <t>Pedro</t>
  </si>
  <si>
    <t>Alejandro</t>
  </si>
  <si>
    <t>von Eckenbrecher</t>
  </si>
  <si>
    <t>gorriti 1847</t>
  </si>
  <si>
    <t>boulogne</t>
  </si>
  <si>
    <t>eckenbre@gmail.com</t>
  </si>
  <si>
    <t>https://yca.org.ar/home/shop/checkout/order-received/46804/?key=wc_order_VvECBlhFtPrWH</t>
  </si>
  <si>
    <t>https://yca.org.ar/home/shop/checkout/order-pay/46804/?pay_for_order=true&amp;key=wc_order_VvECBlhFtPrWH</t>
  </si>
  <si>
    <t>Rabioso - ARG 3889</t>
  </si>
  <si>
    <t>CPNLB</t>
  </si>
  <si>
    <t>Joaquin Casiel</t>
  </si>
  <si>
    <t>von Eckenbrecher Gould</t>
  </si>
  <si>
    <t>swiss medical 800006 1404769 04 1007</t>
  </si>
  <si>
    <t>CECILIA</t>
  </si>
  <si>
    <t>Juarez</t>
  </si>
  <si>
    <t>Avenida Lidoro J. Quinteros 1407</t>
  </si>
  <si>
    <t>CABA</t>
  </si>
  <si>
    <t>cecijua@gmail.com</t>
  </si>
  <si>
    <t>https://yca.org.ar/home/shop/checkout/order-received/46805/?key=wc_order_WIPRDc7zhmSnQ</t>
  </si>
  <si>
    <t>https://yca.org.ar/home/shop/checkout/order-pay/46805/?pay_for_order=true&amp;key=wc_order_WIPRDc7zhmSnQ</t>
  </si>
  <si>
    <t>Alvarez</t>
  </si>
  <si>
    <t>CECIJUA@GMAIL.COM</t>
  </si>
  <si>
    <t>OSDE 410</t>
  </si>
  <si>
    <t>Dono Moya</t>
  </si>
  <si>
    <t>Jose Maria Paz 381</t>
  </si>
  <si>
    <t>hechi2000@yahoo.com.ar</t>
  </si>
  <si>
    <t>https://yca.org.ar/home/shop/checkout/order-received/46809/?key=wc_order_9Kf7FYOjH76zu</t>
  </si>
  <si>
    <t>https://yca.org.ar/home/shop/checkout/order-pay/46809/?pay_for_order=true&amp;key=wc_order_9Kf7FYOjH76zu</t>
  </si>
  <si>
    <t>Accord Salud</t>
  </si>
  <si>
    <t>Melisa</t>
  </si>
  <si>
    <t>VIGNALE</t>
  </si>
  <si>
    <t>AV. CERVIÃ‘O 4502</t>
  </si>
  <si>
    <t>Piso 1. Depto Rio</t>
  </si>
  <si>
    <t>CIUDAD AUTONOMA BUENOS AIRES</t>
  </si>
  <si>
    <t>melisavignale@gmail.com</t>
  </si>
  <si>
    <t>https://yca.org.ar/home/shop/checkout/order-received/46817/?key=wc_order_y0W84VpWc6sWy</t>
  </si>
  <si>
    <t>https://yca.org.ar/home/shop/checkout/order-pay/46817/?pay_for_order=true&amp;key=wc_order_y0W84VpWc6sWy</t>
  </si>
  <si>
    <t>Rayo 8</t>
  </si>
  <si>
    <t>CVB</t>
  </si>
  <si>
    <t>Bautista</t>
  </si>
  <si>
    <t>Peruzzi</t>
  </si>
  <si>
    <t>Osde 61559812803</t>
  </si>
  <si>
    <t>failed</t>
  </si>
  <si>
    <t>Julio cesar</t>
  </si>
  <si>
    <t>Frank</t>
  </si>
  <si>
    <t>Moreno</t>
  </si>
  <si>
    <t>Benavidez</t>
  </si>
  <si>
    <t>juliocesarfrank92@gmail.com</t>
  </si>
  <si>
    <t>https://yca.org.ar/wc-api/WC_WooMercadoPago_Custom_Gateway/?data.id=179453485790&amp;source_news=webhook&amp;type=payment</t>
  </si>
  <si>
    <t>https://yca.org.ar/home/shop/checkout/order-pay/46818/?pay_for_order=true&amp;key=wc_order_9W3kP7EKhJadE</t>
  </si>
  <si>
    <t>Mandarina</t>
  </si>
  <si>
    <t>Silverio</t>
  </si>
  <si>
    <t>O.S.P.F.P</t>
  </si>
  <si>
    <t>Gustavo</t>
  </si>
  <si>
    <t>Elorriaga</t>
  </si>
  <si>
    <t>Pinto 854</t>
  </si>
  <si>
    <t>Zarate</t>
  </si>
  <si>
    <t>mingote_elo@hotmail.com</t>
  </si>
  <si>
    <t>https://yca.org.ar/home/shop/checkout/order-received/46819/?key=wc_order_8rmy6bkg0IrsX</t>
  </si>
  <si>
    <t>https://yca.org.ar/home/shop/checkout/order-pay/46819/?pay_for_order=true&amp;key=wc_order_8rmy6bkg0IrsX</t>
  </si>
  <si>
    <t>Homerillo</t>
  </si>
  <si>
    <t>CNZ</t>
  </si>
  <si>
    <t>Homero</t>
  </si>
  <si>
    <t>swiss Medical</t>
  </si>
  <si>
    <t>cambia pais en vela</t>
  </si>
  <si>
    <t>Heredia</t>
  </si>
  <si>
    <t>Avenida Federico Lacroze 1752</t>
  </si>
  <si>
    <t>flotalaser@gmail.com</t>
  </si>
  <si>
    <t>https://yca.org.ar/home/shop/checkout/order-received/46823/?key=wc_order_fzyMJVLW1nCXW</t>
  </si>
  <si>
    <t>https://yca.org.ar/home/shop/checkout/order-pay/46823/?pay_for_order=true&amp;key=wc_order_fzyMJVLW1nCXW</t>
  </si>
  <si>
    <t>Totoro</t>
  </si>
  <si>
    <t>SWE</t>
  </si>
  <si>
    <t>Matias</t>
  </si>
  <si>
    <t>Campitelli</t>
  </si>
  <si>
    <t>Dr Eduardo Madero 246</t>
  </si>
  <si>
    <t>matias.campitelli@gmail.com</t>
  </si>
  <si>
    <t>https://yca.org.ar/home/shop/checkout/order-received/46830/?key=wc_order_XAbw0jAl6maj9</t>
  </si>
  <si>
    <t>https://yca.org.ar/home/shop/checkout/order-pay/46830/?pay_for_order=true&amp;key=wc_order_XAbw0jAl6maj9</t>
  </si>
  <si>
    <t>Vicente</t>
  </si>
  <si>
    <t>SebastiÃ¡n</t>
  </si>
  <si>
    <t>Cuenca</t>
  </si>
  <si>
    <t>Jazmin</t>
  </si>
  <si>
    <t>Escobar</t>
  </si>
  <si>
    <t>COMERCIAL@ESCOGREEN.COM.AR</t>
  </si>
  <si>
    <t>https://yca.org.ar/home/shop/checkout/order-received/46838/?key=wc_order_ZnAtaS3SRRUgv</t>
  </si>
  <si>
    <t>https://yca.org.ar/home/shop/checkout/order-pay/46838/?pay_for_order=true&amp;key=wc_order_ZnAtaS3SRRUgv</t>
  </si>
  <si>
    <t>Renata</t>
  </si>
  <si>
    <t>Cuenca Esmaiman</t>
  </si>
  <si>
    <t>Austral</t>
  </si>
  <si>
    <t>L</t>
  </si>
  <si>
    <t>Liberman</t>
  </si>
  <si>
    <t>MÃ¡rtires Palotinos 4070</t>
  </si>
  <si>
    <t>C1430</t>
  </si>
  <si>
    <t>libermanluis@gmail.com</t>
  </si>
  <si>
    <t>https://yca.org.ar/home/shop/checkout/order-received/46850/?key=wc_order_9NHRY8uV8WAGL</t>
  </si>
  <si>
    <t>https://yca.org.ar/home/shop/checkout/order-pay/46850/?pay_for_order=true&amp;key=wc_order_9NHRY8uV8WAGL</t>
  </si>
  <si>
    <t>Huayra</t>
  </si>
  <si>
    <t>CNGSM</t>
  </si>
  <si>
    <t>Sofía Julieta</t>
  </si>
  <si>
    <t>Matilda</t>
  </si>
  <si>
    <t>Tamborini</t>
  </si>
  <si>
    <t>Echeverria 2847</t>
  </si>
  <si>
    <t>Caba</t>
  </si>
  <si>
    <t>julietaverga@gmail.com</t>
  </si>
  <si>
    <t>https://yca.org.ar/home/shop/checkout/order-received/46852/?key=wc_order_uDJ9lCo1JC9Ci</t>
  </si>
  <si>
    <t>https://yca.org.ar/home/shop/checkout/order-pay/46852/?pay_for_order=true&amp;key=wc_order_uDJ9lCo1JC9Ci</t>
  </si>
  <si>
    <t>Angeles</t>
  </si>
  <si>
    <t>Baudino</t>
  </si>
  <si>
    <t>La reconquista 2401</t>
  </si>
  <si>
    <t>RincÃ³n de Milberg</t>
  </si>
  <si>
    <t>angelescipo@hotmail.com</t>
  </si>
  <si>
    <t>https://yca.org.ar/home/shop/checkout/order-received/46859/?key=wc_order_3f95BDJuoWvSc</t>
  </si>
  <si>
    <t>https://yca.org.ar/home/shop/checkout/order-pay/46859/?pay_for_order=true&amp;key=wc_order_3f95BDJuoWvSc</t>
  </si>
  <si>
    <t>Sunset</t>
  </si>
  <si>
    <t>YCCN</t>
  </si>
  <si>
    <t>Günther</t>
  </si>
  <si>
    <t>Koch</t>
  </si>
  <si>
    <t>Guido</t>
  </si>
  <si>
    <t>Bicocca</t>
  </si>
  <si>
    <t>Caseros 1752</t>
  </si>
  <si>
    <t>Florida, Vicente Lopez</t>
  </si>
  <si>
    <t>guidobicocca@gmail.com</t>
  </si>
  <si>
    <t>https://yca.org.ar/home/shop/checkout/order-received/46861/?key=wc_order_QhzQg4TmfjuCK</t>
  </si>
  <si>
    <t>https://yca.org.ar/home/shop/checkout/order-pay/46861/?pay_for_order=true&amp;key=wc_order_QhzQg4TmfjuCK</t>
  </si>
  <si>
    <t>Woloj</t>
  </si>
  <si>
    <t>Pasaje Suiza</t>
  </si>
  <si>
    <t>2049 A</t>
  </si>
  <si>
    <t>swoloj@yahoo.com.ar</t>
  </si>
  <si>
    <t>https://yca.org.ar/home/shop/checkout/order-received/46865/?key=wc_order_qjNyP7P1wZ8Za</t>
  </si>
  <si>
    <t>https://yca.org.ar/home/shop/checkout/order-pay/46865/?pay_for_order=true&amp;key=wc_order_qjNyP7P1wZ8Za</t>
  </si>
  <si>
    <t>Dasuten</t>
  </si>
  <si>
    <t>MARTIN</t>
  </si>
  <si>
    <t>FOSSATTI</t>
  </si>
  <si>
    <t>Burela 2167</t>
  </si>
  <si>
    <t>7A</t>
  </si>
  <si>
    <t>CDAD DE BUENOS AIRES</t>
  </si>
  <si>
    <t>mgfossatti@gmail.com</t>
  </si>
  <si>
    <t>https://yca.org.ar/home/shop/checkout/order-received/46867/?key=wc_order_MF7HjHNCqDQTK</t>
  </si>
  <si>
    <t>https://yca.org.ar/home/shop/checkout/order-pay/46867/?pay_for_order=true&amp;key=wc_order_MF7HjHNCqDQTK</t>
  </si>
  <si>
    <t>Tiburoncito</t>
  </si>
  <si>
    <t>Sofía Guillermina</t>
  </si>
  <si>
    <t>Fossatti</t>
  </si>
  <si>
    <t>pending</t>
  </si>
  <si>
    <t>Mauricio</t>
  </si>
  <si>
    <t>Ronchi</t>
  </si>
  <si>
    <t>Moreno 877</t>
  </si>
  <si>
    <t>Piso21</t>
  </si>
  <si>
    <t>mauricioronchi@yahoo.com</t>
  </si>
  <si>
    <t>https://yca.org.ar/categoria-producto/sba/</t>
  </si>
  <si>
    <t>https://yca.org.ar/home/shop/checkout/order-pay/46870/?pay_for_order=true&amp;key=wc_order_XAk8qIqlKJski</t>
  </si>
  <si>
    <t>Tango</t>
  </si>
  <si>
    <t>Benjamin</t>
  </si>
  <si>
    <t>Pago en el Club (#46861)</t>
  </si>
  <si>
    <t>https://yca.org.ar/home/shop/checkout/order-received/46871/?key=wc_order_Xb5xZlcY8I0O0</t>
  </si>
  <si>
    <t>https://yca.org.ar/home/shop/checkout/order-pay/46871/?pay_for_order=true&amp;key=wc_order_Xb5xZlcY8I0O0</t>
  </si>
  <si>
    <t>Franco</t>
  </si>
  <si>
    <t>Diego</t>
  </si>
  <si>
    <t>Mul</t>
  </si>
  <si>
    <t>Los ombues 17</t>
  </si>
  <si>
    <t>diegomul@hotmail.com</t>
  </si>
  <si>
    <t>https://yca.org.ar/home/shop/checkout/order-received/46875/?key=wc_order_M83feAg5gw1GV</t>
  </si>
  <si>
    <t>https://yca.org.ar/home/shop/checkout/order-pay/46875/?pay_for_order=true&amp;key=wc_order_M83feAg5gw1GV</t>
  </si>
  <si>
    <t>GBR</t>
  </si>
  <si>
    <t>Nina</t>
  </si>
  <si>
    <t>Osdipp</t>
  </si>
  <si>
    <t>Roberto Francisco</t>
  </si>
  <si>
    <t>Jensen</t>
  </si>
  <si>
    <t>Calle 21 entre 655 y 656</t>
  </si>
  <si>
    <t>La Plata</t>
  </si>
  <si>
    <t>totopalito@yahoo.com.ar</t>
  </si>
  <si>
    <t>https://yca.org.ar/home/shop/checkout/order-received/46886/?key=wc_order_O3lk176K4aS2i</t>
  </si>
  <si>
    <t>https://yca.org.ar/home/shop/checkout/order-pay/46886/?pay_for_order=true&amp;key=wc_order_O3lk176K4aS2i</t>
  </si>
  <si>
    <t>Luna</t>
  </si>
  <si>
    <t>CRLP</t>
  </si>
  <si>
    <t>Tania Maitén</t>
  </si>
  <si>
    <t>palitojensen@gmail.com</t>
  </si>
  <si>
    <t>IOMA</t>
  </si>
  <si>
    <t>Paulucci</t>
  </si>
  <si>
    <t>Tronador 3430</t>
  </si>
  <si>
    <t>3D P1</t>
  </si>
  <si>
    <t>martin.paulucci@gmail.com</t>
  </si>
  <si>
    <t>https://yca.org.ar/home/shop/checkout/order-received/46887/?key=wc_order_WNmuuzm6WxUHD</t>
  </si>
  <si>
    <t>https://yca.org.ar/home/shop/checkout/order-pay/46887/?pay_for_order=true&amp;key=wc_order_WNmuuzm6WxUHD</t>
  </si>
  <si>
    <t>Ondina</t>
  </si>
  <si>
    <t>Sol</t>
  </si>
  <si>
    <t>Valeria</t>
  </si>
  <si>
    <t>Fassa</t>
  </si>
  <si>
    <t>Olazabal 4325</t>
  </si>
  <si>
    <t>vfassa@fvet.uba.ar</t>
  </si>
  <si>
    <t>https://yca.org.ar/home/shop/checkout/order-received/46888/?key=wc_order_W6JnlFR0rYefV</t>
  </si>
  <si>
    <t>https://yca.org.ar/home/shop/checkout/order-pay/46888/?pay_for_order=true&amp;key=wc_order_W6JnlFR0rYefV</t>
  </si>
  <si>
    <t>Padawan</t>
  </si>
  <si>
    <t>Zoppi</t>
  </si>
  <si>
    <t>Merlo</t>
  </si>
  <si>
    <t>MÃ¡rquez de Aviles 482</t>
  </si>
  <si>
    <t>Ensenada</t>
  </si>
  <si>
    <t>gustavomerloe@hotmail.com.ar</t>
  </si>
  <si>
    <t>https://yca.org.ar/home/shop/checkout/order-received/46897/?key=wc_order_z2Z0ExGsIJRus</t>
  </si>
  <si>
    <t>https://yca.org.ar/home/shop/checkout/order-pay/46897/?pay_for_order=true&amp;key=wc_order_z2Z0ExGsIJRus</t>
  </si>
  <si>
    <t>Perceo</t>
  </si>
  <si>
    <t>Merlo Calderón</t>
  </si>
  <si>
    <t>Ospe</t>
  </si>
  <si>
    <t>Milagros</t>
  </si>
  <si>
    <t>Sellares</t>
  </si>
  <si>
    <t>GENERAL ARIAS 2769</t>
  </si>
  <si>
    <t>milagrossellares@yahoo.com.ar</t>
  </si>
  <si>
    <t>https://yca.org.ar/home/shop/checkout/order-received/46898/?key=wc_order_pMxorrDHJ5EG2</t>
  </si>
  <si>
    <t>https://yca.org.ar/home/shop/checkout/order-pay/46898/?pay_for_order=true&amp;key=wc_order_pMxorrDHJ5EG2</t>
  </si>
  <si>
    <t>GÃ©nesis</t>
  </si>
  <si>
    <t>Candearia</t>
  </si>
  <si>
    <t>Micele</t>
  </si>
  <si>
    <t>Laureano</t>
  </si>
  <si>
    <t>Melita</t>
  </si>
  <si>
    <t>Reconquista de bs as 115</t>
  </si>
  <si>
    <t>Casa</t>
  </si>
  <si>
    <t>Florencio varela</t>
  </si>
  <si>
    <t>fernandamillanesio@hotmail.com</t>
  </si>
  <si>
    <t>https://yca.org.ar/home/shop/checkout/order-received/46903/?key=wc_order_mtRffIwILG5ym</t>
  </si>
  <si>
    <t>https://yca.org.ar/home/shop/checkout/order-pay/46903/?pay_for_order=true&amp;key=wc_order_mtRffIwILG5ym</t>
  </si>
  <si>
    <t>Melita Laureano</t>
  </si>
  <si>
    <t>CNQ</t>
  </si>
  <si>
    <t>No</t>
  </si>
  <si>
    <t>Geradine</t>
  </si>
  <si>
    <t>Berler</t>
  </si>
  <si>
    <t>Av De Los Lagos 100 Araucarias</t>
  </si>
  <si>
    <t>geraldineberler73@gmail.com</t>
  </si>
  <si>
    <t>https://yca.org.ar/home/shop/checkout/order-received/46905/?key=wc_order_Wuo4zleMqoPMn</t>
  </si>
  <si>
    <t>https://yca.org.ar/home/shop/checkout/order-pay/46905/?pay_for_order=true&amp;key=wc_order_Wuo4zleMqoPMn</t>
  </si>
  <si>
    <t>Tomás Uriel</t>
  </si>
  <si>
    <t>Materin</t>
  </si>
  <si>
    <t>Carlos</t>
  </si>
  <si>
    <t>Stabile</t>
  </si>
  <si>
    <t>Acassuso 1577</t>
  </si>
  <si>
    <t>San Isidro</t>
  </si>
  <si>
    <t>stabilec026@gmail.com</t>
  </si>
  <si>
    <t>https://yca.org.ar/home/shop/checkout/order-received/46906/?key=wc_order_ipeSwz1GUwRoJ</t>
  </si>
  <si>
    <t>https://yca.org.ar/home/shop/checkout/order-pay/46906/?pay_for_order=true&amp;key=wc_order_ipeSwz1GUwRoJ</t>
  </si>
  <si>
    <t>Julia</t>
  </si>
  <si>
    <t>Guillermo</t>
  </si>
  <si>
    <t>Castro</t>
  </si>
  <si>
    <t>Alberdi 1551</t>
  </si>
  <si>
    <t>Villa ConstituciÃ³n</t>
  </si>
  <si>
    <t>guillerubencastro@gmail.com</t>
  </si>
  <si>
    <t>https://yca.org.ar/home/shop/checkout/order-received/46912/?key=wc_order_igHnKljkbR73H</t>
  </si>
  <si>
    <t>https://yca.org.ar/home/shop/checkout/order-pay/46912/?pay_for_order=true&amp;key=wc_order_igHnKljkbR73H</t>
  </si>
  <si>
    <t>CRA</t>
  </si>
  <si>
    <t>Sara</t>
  </si>
  <si>
    <t>Jose</t>
  </si>
  <si>
    <t>Tedin</t>
  </si>
  <si>
    <t>Husares 922</t>
  </si>
  <si>
    <t>josetedin@gmail.com</t>
  </si>
  <si>
    <t>https://yca.org.ar/home/shop/checkout/order-received/46944/?key=wc_order_4h3ROFfUUcLNk</t>
  </si>
  <si>
    <t>https://yca.org.ar/home/shop/checkout/order-pay/46944/?pay_for_order=true&amp;key=wc_order_4h3ROFfUUcLNk</t>
  </si>
  <si>
    <t>Jeronimo</t>
  </si>
  <si>
    <t>IvÃ¡n</t>
  </si>
  <si>
    <t>GarcÃ­a Laborde</t>
  </si>
  <si>
    <t>Rodriguez PeÃ±a 1015</t>
  </si>
  <si>
    <t>5to</t>
  </si>
  <si>
    <t>igarcialaborde@gmail.com</t>
  </si>
  <si>
    <t>https://yca.org.ar/wc-api/WC_WooMercadoPago_Custom_Gateway/?data.id=179009159283&amp;source_news=webhook&amp;type=payment</t>
  </si>
  <si>
    <t>https://yca.org.ar/home/shop/checkout/order-pay/46946/?pay_for_order=true&amp;key=wc_order_5VIgjFCTfNX4a</t>
  </si>
  <si>
    <t>Fatima</t>
  </si>
  <si>
    <t>García Laborde</t>
  </si>
  <si>
    <t>Monasterolo</t>
  </si>
  <si>
    <t>Lavalle 279</t>
  </si>
  <si>
    <t>Quilmes</t>
  </si>
  <si>
    <t>Quilmes (C.P. 1878)</t>
  </si>
  <si>
    <t>valeriamonasterolo@gmail.com</t>
  </si>
  <si>
    <t>https://yca.org.ar/home/shop/checkout/order-received/46950/?key=wc_order_GUqeBsGZbIRuo</t>
  </si>
  <si>
    <t>https://yca.org.ar/home/shop/checkout/order-pay/46950/?pay_for_order=true&amp;key=wc_order_GUqeBsGZbIRuo</t>
  </si>
  <si>
    <t>Mateo</t>
  </si>
  <si>
    <t>Costantini Monasterolo</t>
  </si>
  <si>
    <t>Osde310</t>
  </si>
  <si>
    <t>https://yca.org.ar/home/shop/checkout/order-received/46951/?key=wc_order_0d9zHZd2eZKZV</t>
  </si>
  <si>
    <t>https://yca.org.ar/home/shop/checkout/order-pay/46951/?pay_for_order=true&amp;key=wc_order_0d9zHZd2eZKZV</t>
  </si>
  <si>
    <t>COSMO</t>
  </si>
  <si>
    <t>Tomás</t>
  </si>
  <si>
    <t>Laura</t>
  </si>
  <si>
    <t>Sanchez</t>
  </si>
  <si>
    <t>Pasaje BahÃ­a Blanca 2252</t>
  </si>
  <si>
    <t>Granadero Baigorria</t>
  </si>
  <si>
    <t>laurasanchez.seleccion@gmail.com</t>
  </si>
  <si>
    <t>https://yca.org.ar/home/shop/checkout/order-received/46952/?key=wc_order_x9azys1xehQe2</t>
  </si>
  <si>
    <t>https://yca.org.ar/home/shop/checkout/order-pay/46952/?pay_for_order=true&amp;key=wc_order_x9azys1xehQe2</t>
  </si>
  <si>
    <t>Alvaro</t>
  </si>
  <si>
    <t>Muller</t>
  </si>
  <si>
    <t>martin</t>
  </si>
  <si>
    <t>corral</t>
  </si>
  <si>
    <t>24 # 1376</t>
  </si>
  <si>
    <t>LA PLATA</t>
  </si>
  <si>
    <t>martincorral.arg@gmail.com</t>
  </si>
  <si>
    <t>https://yca.org.ar/home/shop/checkout/order-received/46955/?key=wc_order_xRBseCIKOMrM6</t>
  </si>
  <si>
    <t>https://yca.org.ar/home/shop/checkout/order-pay/46955/?pay_for_order=true&amp;key=wc_order_xRBseCIKOMrM6</t>
  </si>
  <si>
    <t>Audax</t>
  </si>
  <si>
    <t>Pipe</t>
  </si>
  <si>
    <t>Corral</t>
  </si>
  <si>
    <t>cambia Pais</t>
  </si>
  <si>
    <t>florencia</t>
  </si>
  <si>
    <t>hermida</t>
  </si>
  <si>
    <t>Beruti 2765</t>
  </si>
  <si>
    <t>3 G</t>
  </si>
  <si>
    <t>florenciahermida@gmail.com</t>
  </si>
  <si>
    <t>https://yca.org.ar/wc-api/WC_WooMercadoPago_Custom_Gateway/?data.id=179051669597&amp;source_news=webhook&amp;type=payment</t>
  </si>
  <si>
    <t>https://yca.org.ar/home/shop/checkout/order-pay/46957/?pay_for_order=true&amp;key=wc_order_tlPq1qt1z3tjZ</t>
  </si>
  <si>
    <t>Photon</t>
  </si>
  <si>
    <t>Benicio Isidro</t>
  </si>
  <si>
    <t>Cuevas Hermida</t>
  </si>
  <si>
    <t>Osde 210</t>
  </si>
  <si>
    <t>Florencia</t>
  </si>
  <si>
    <t>Aldec</t>
  </si>
  <si>
    <t>Rafael Altamira 1376</t>
  </si>
  <si>
    <t>Rafael Calzada</t>
  </si>
  <si>
    <t>flor574@hotmail.com</t>
  </si>
  <si>
    <t>https://yca.org.ar/wc-api/WC_WooMercadoPago_Custom_Gateway/?data.id=180053610870&amp;source_news=webhook&amp;type=payment</t>
  </si>
  <si>
    <t>https://yca.org.ar/home/shop/checkout/order-pay/46965/?pay_for_order=true&amp;key=wc_order_qGzAvUaqjuHrj</t>
  </si>
  <si>
    <t>Álvaro Valentín</t>
  </si>
  <si>
    <t>Gómez</t>
  </si>
  <si>
    <t>CELINA maria</t>
  </si>
  <si>
    <t>bisbal</t>
  </si>
  <si>
    <t>moreno 128</t>
  </si>
  <si>
    <t>san isidro</t>
  </si>
  <si>
    <t>cbisbal77@yahoo.com.ar</t>
  </si>
  <si>
    <t>https://yca.org.ar/home/shop/checkout/order-received/46966/?key=wc_order_uqRdTIgXYiEqj</t>
  </si>
  <si>
    <t>https://yca.org.ar/home/shop/checkout/order-pay/46966/?pay_for_order=true&amp;key=wc_order_uqRdTIgXYiEqj</t>
  </si>
  <si>
    <t>TitÃ¡n</t>
  </si>
  <si>
    <t>Belen</t>
  </si>
  <si>
    <t>Pacheco</t>
  </si>
  <si>
    <t>medife</t>
  </si>
  <si>
    <t>Lucas</t>
  </si>
  <si>
    <t>Carissimi</t>
  </si>
  <si>
    <t>Victoria ocampo 853</t>
  </si>
  <si>
    <t>San isidri</t>
  </si>
  <si>
    <t>L.carissimi@gpcasoc.com.ar</t>
  </si>
  <si>
    <t>https://yca.org.ar/home/shop/checkout/order-received/46971/?key=wc_order_bkQgGva0O4i7b</t>
  </si>
  <si>
    <t>https://yca.org.ar/home/shop/checkout/order-pay/46971/?pay_for_order=true&amp;key=wc_order_bkQgGva0O4i7b</t>
  </si>
  <si>
    <t>Lego Jr</t>
  </si>
  <si>
    <t>Suyai</t>
  </si>
  <si>
    <t>Bogani</t>
  </si>
  <si>
    <t>Dean funes 2001 barrio san marco</t>
  </si>
  <si>
    <t>Lote 252</t>
  </si>
  <si>
    <t>suyaibogani@gmail.com</t>
  </si>
  <si>
    <t>https://yca.org.ar/home/shop/checkout/order-received/46972/?key=wc_order_1hmtdoC0z4UZG</t>
  </si>
  <si>
    <t>https://yca.org.ar/home/shop/checkout/order-pay/46972/?pay_for_order=true&amp;key=wc_order_1hmtdoC0z4UZG</t>
  </si>
  <si>
    <t>Ramiro</t>
  </si>
  <si>
    <t>Henning</t>
  </si>
  <si>
    <t>cambia Nombre</t>
  </si>
  <si>
    <t>MARIA</t>
  </si>
  <si>
    <t>PITA</t>
  </si>
  <si>
    <t>TacuarÃ­ 336 Caba</t>
  </si>
  <si>
    <t>macarena_pita@yahoo.com.ar</t>
  </si>
  <si>
    <t>https://yca.org.ar/home/shop/checkout/order-received/46980/?key=wc_order_ojjhRV6ZCXahE</t>
  </si>
  <si>
    <t>https://yca.org.ar/home/shop/checkout/order-pay/46980/?pay_for_order=true&amp;key=wc_order_ojjhRV6ZCXahE</t>
  </si>
  <si>
    <t>CNSE</t>
  </si>
  <si>
    <t>Pons Pita</t>
  </si>
  <si>
    <t>Yesica</t>
  </si>
  <si>
    <t>Stepancic</t>
  </si>
  <si>
    <t>Alberto Williams 1663</t>
  </si>
  <si>
    <t>Hurlingham</t>
  </si>
  <si>
    <t>yesistepancic@hotmail.com</t>
  </si>
  <si>
    <t>https://yca.org.ar/home/shop/checkout/order-received/46985/?key=wc_order_hZG24iM8RF6fA</t>
  </si>
  <si>
    <t>https://yca.org.ar/home/shop/checkout/order-pay/46985/?pay_for_order=true&amp;key=wc_order_hZG24iM8RF6fA</t>
  </si>
  <si>
    <t>Lucia</t>
  </si>
  <si>
    <t>Ruiz Stepancic</t>
  </si>
  <si>
    <t>yesistepancic@gmail.com</t>
  </si>
  <si>
    <t>DONOFRIO</t>
  </si>
  <si>
    <t>Blanco Encalada 4236</t>
  </si>
  <si>
    <t>adonofr@gmail.com</t>
  </si>
  <si>
    <t>https://yca.org.ar/producto/sba-optimist-principiantes/</t>
  </si>
  <si>
    <t>https://yca.org.ar/home/shop/checkout/order-pay/46988/?pay_for_order=true&amp;key=wc_order_zvqZO9DUdusKV</t>
  </si>
  <si>
    <t>Sacha</t>
  </si>
  <si>
    <t>Donofrio</t>
  </si>
  <si>
    <t>Marilina</t>
  </si>
  <si>
    <t>De Mey</t>
  </si>
  <si>
    <t>GualeguaychÃº 3062</t>
  </si>
  <si>
    <t>marilinademey@gmail.com</t>
  </si>
  <si>
    <t>https://yca.org.ar/home/shop/checkout/order-received/46991/?key=wc_order_mytyMYDf4IgiT</t>
  </si>
  <si>
    <t>https://yca.org.ar/home/shop/checkout/order-pay/46991/?pay_for_order=true&amp;key=wc_order_mytyMYDf4IgiT</t>
  </si>
  <si>
    <t>RAZOR CREST</t>
  </si>
  <si>
    <t>Felipe</t>
  </si>
  <si>
    <t>Barral</t>
  </si>
  <si>
    <t>OSDE 210</t>
  </si>
  <si>
    <t>Marquez</t>
  </si>
  <si>
    <t>Urquiza 1159</t>
  </si>
  <si>
    <t>Rosario</t>
  </si>
  <si>
    <t>marquezbirocco@gmail.com</t>
  </si>
  <si>
    <t>Pago en el Club (PAGÃ“)</t>
  </si>
  <si>
    <t>https://yca.org.ar/home/shop/checkout/order-received/46992/?key=wc_order_M4inLequF45dx</t>
  </si>
  <si>
    <t>https://yca.org.ar/home/shop/checkout/order-pay/46992/?pay_for_order=true&amp;key=wc_order_M4inLequF45dx</t>
  </si>
  <si>
    <t>CVR</t>
  </si>
  <si>
    <t>Isabella</t>
  </si>
  <si>
    <t>Marquez Lacal</t>
  </si>
  <si>
    <t>Ospac</t>
  </si>
  <si>
    <t>Andres ruben</t>
  </si>
  <si>
    <t>Benesch</t>
  </si>
  <si>
    <t>Miguel cane 1309</t>
  </si>
  <si>
    <t>beneschetes@yahoo.com.ar</t>
  </si>
  <si>
    <t>https://yca.org.ar/home/shop/checkout/order-received/46994/?key=wc_order_QEqPACEDKSTf8</t>
  </si>
  <si>
    <t>https://yca.org.ar/home/shop/checkout/order-pay/46994/?pay_for_order=true&amp;key=wc_order_QEqPACEDKSTf8</t>
  </si>
  <si>
    <t>Ms Fortune</t>
  </si>
  <si>
    <t>Comei</t>
  </si>
  <si>
    <t>Fernando</t>
  </si>
  <si>
    <t>Jochoian</t>
  </si>
  <si>
    <t>Pedro Goyena 2670</t>
  </si>
  <si>
    <t>MARTINEZ (1640)</t>
  </si>
  <si>
    <t>jochoian@gmail.com</t>
  </si>
  <si>
    <t>https://yca.org.ar/home/shop/checkout/order-received/47000/?key=wc_order_2pLQKD19s6ok6</t>
  </si>
  <si>
    <t>https://yca.org.ar/home/shop/checkout/order-pay/47000/?pay_for_order=true&amp;key=wc_order_2pLQKD19s6ok6</t>
  </si>
  <si>
    <t>El Principito</t>
  </si>
  <si>
    <t>CNAs</t>
  </si>
  <si>
    <t>fJOCHOIAN@YAHOO.COM.AR</t>
  </si>
  <si>
    <t>Maria Paz</t>
  </si>
  <si>
    <t>Andrada</t>
  </si>
  <si>
    <t>Billinghurst 2238</t>
  </si>
  <si>
    <t>mpakrause@gmail.com</t>
  </si>
  <si>
    <t>https://yca.org.ar/home/shop/checkout/order-received/47002/?key=wc_order_BcxJGj1QWK0FT</t>
  </si>
  <si>
    <t>https://yca.org.ar/home/shop/checkout/order-pay/47002/?pay_for_order=true&amp;key=wc_order_BcxJGj1QWK0FT</t>
  </si>
  <si>
    <t>Margarita</t>
  </si>
  <si>
    <t>Mussel</t>
  </si>
  <si>
    <t>Norberto</t>
  </si>
  <si>
    <t>Smurra</t>
  </si>
  <si>
    <t>GARCIA MANSILLA 1252</t>
  </si>
  <si>
    <t>SAN FERNANDO</t>
  </si>
  <si>
    <t>smurra.norberto@gmail.com</t>
  </si>
  <si>
    <t>https://yca.org.ar/home/shop/checkout/order-received/47004/?key=wc_order_GaSM3UBew2Pep</t>
  </si>
  <si>
    <t>https://yca.org.ar/home/shop/checkout/order-pay/47004/?pay_for_order=true&amp;key=wc_order_GaSM3UBew2Pep</t>
  </si>
  <si>
    <t>Byhappy</t>
  </si>
  <si>
    <t>Camila</t>
  </si>
  <si>
    <t>Aguirre Gari</t>
  </si>
  <si>
    <t>MEDICUS</t>
  </si>
  <si>
    <t>Hofer</t>
  </si>
  <si>
    <t>Ignacio</t>
  </si>
  <si>
    <t>62 1430</t>
  </si>
  <si>
    <t>La plata</t>
  </si>
  <si>
    <t>nachohofer@hotmail.com</t>
  </si>
  <si>
    <t>https://yca.org.ar/wc-api/WC_WooMercadoPago_Custom_Gateway/?data.id=179130357309&amp;source_news=webhook&amp;type=payment</t>
  </si>
  <si>
    <t>https://yca.org.ar/home/shop/checkout/order-pay/47006/?pay_for_order=true&amp;key=wc_order_vBWVETc6pBT3y</t>
  </si>
  <si>
    <t>Angelito</t>
  </si>
  <si>
    <t>Gaspar</t>
  </si>
  <si>
    <t>hoferignacio@gmail.com</t>
  </si>
  <si>
    <t>Ioma</t>
  </si>
  <si>
    <t>Veronica</t>
  </si>
  <si>
    <t>Criston</t>
  </si>
  <si>
    <t>Vito dumas 1</t>
  </si>
  <si>
    <t>verocriston@gmail.com</t>
  </si>
  <si>
    <t>https://yca.org.ar/home/shop/checkout/order-received/47008/?key=wc_order_9KW3efIWOkn8g</t>
  </si>
  <si>
    <t>https://yca.org.ar/home/shop/checkout/order-pay/47008/?pay_for_order=true&amp;key=wc_order_9KW3efIWOkn8g</t>
  </si>
  <si>
    <t>Mora</t>
  </si>
  <si>
    <t>Berard</t>
  </si>
  <si>
    <t>Union personal</t>
  </si>
  <si>
    <t>Cecilia</t>
  </si>
  <si>
    <t>Bianqui</t>
  </si>
  <si>
    <t>Triunvirato 1017</t>
  </si>
  <si>
    <t>QUILMES OESTE</t>
  </si>
  <si>
    <t>ceciliabianqui@gmail.com</t>
  </si>
  <si>
    <t>https://yca.org.ar/home/shop/checkout/order-received/47014/?key=wc_order_vlW21Jxqbclfh</t>
  </si>
  <si>
    <t>https://yca.org.ar/home/shop/checkout/order-pay/47014/?pay_for_order=true&amp;key=wc_order_vlW21Jxqbclfh</t>
  </si>
  <si>
    <t>TIFON</t>
  </si>
  <si>
    <t>Joaquin</t>
  </si>
  <si>
    <t>Dejo Bianqui</t>
  </si>
  <si>
    <t>MarÃ­a Florencia</t>
  </si>
  <si>
    <t>VÃ¡zquez</t>
  </si>
  <si>
    <t>guemes 1277</t>
  </si>
  <si>
    <t>maflorenciavz@gmail.com</t>
  </si>
  <si>
    <t>https://yca.org.ar/home/shop/checkout/order-received/47017/?key=wc_order_BUtw8a1FQn3on</t>
  </si>
  <si>
    <t>https://yca.org.ar/home/shop/checkout/order-pay/47017/?pay_for_order=true&amp;key=wc_order_BUtw8a1FQn3on</t>
  </si>
  <si>
    <t>Rocío</t>
  </si>
  <si>
    <t>Suarez Vázquez</t>
  </si>
  <si>
    <t>Agustin</t>
  </si>
  <si>
    <t>Giroud</t>
  </si>
  <si>
    <t>Horacio Quiroga 4901</t>
  </si>
  <si>
    <t>Ituzaingo</t>
  </si>
  <si>
    <t>agus.giroud.3416@gmail.com</t>
  </si>
  <si>
    <t>https://yca.org.ar/home/shop/checkout/order-received/47018/?key=wc_order_YEphdpTMNHRqX</t>
  </si>
  <si>
    <t>https://yca.org.ar/home/shop/checkout/order-pay/47018/?pay_for_order=true&amp;key=wc_order_YEphdpTMNHRqX</t>
  </si>
  <si>
    <t>-</t>
  </si>
  <si>
    <t>CPNLB-CBRIO</t>
  </si>
  <si>
    <t>Ambar</t>
  </si>
  <si>
    <t>Bruno</t>
  </si>
  <si>
    <t>No tiene</t>
  </si>
  <si>
    <t>https://yca.org.ar/home/shop/checkout/order-received/47019/?key=wc_order_Jozz1W6zcA8IT</t>
  </si>
  <si>
    <t>https://yca.org.ar/home/shop/checkout/order-pay/47019/?pay_for_order=true&amp;key=wc_order_Jozz1W6zcA8IT</t>
  </si>
  <si>
    <t>Axel</t>
  </si>
  <si>
    <t>Goitea</t>
  </si>
  <si>
    <t>GUADALUPE</t>
  </si>
  <si>
    <t>RAMON</t>
  </si>
  <si>
    <t>MERCEDES 4516</t>
  </si>
  <si>
    <t>guada.r@hotmail.com</t>
  </si>
  <si>
    <t>https://yca.org.ar/home/shop/checkout/order-pay/47029/?pay_for_order=true&amp;key=wc_order_GvNLyZDMVHniD</t>
  </si>
  <si>
    <t>PROMETEO</t>
  </si>
  <si>
    <t>Santiago Nicolas</t>
  </si>
  <si>
    <t>Garcia</t>
  </si>
  <si>
    <t>OMINT</t>
  </si>
  <si>
    <t>Mariela</t>
  </si>
  <si>
    <t>Garayo</t>
  </si>
  <si>
    <t>1560 Maure 10B</t>
  </si>
  <si>
    <t>10B</t>
  </si>
  <si>
    <t>Capital federal</t>
  </si>
  <si>
    <t>appu014@gmail.com</t>
  </si>
  <si>
    <t>https://yca.org.ar/wc-api/WC_WooMercadoPago_Custom_Gateway/?data.id=180138523834&amp;source_news=webhook&amp;type=payment</t>
  </si>
  <si>
    <t>https://yca.org.ar/home/shop/checkout/order-pay/47035/?pay_for_order=true&amp;key=wc_order_EOA0Yi7EVZjCo</t>
  </si>
  <si>
    <t>CAJITA FELIZ</t>
  </si>
  <si>
    <t>Dafne</t>
  </si>
  <si>
    <t>Zibell</t>
  </si>
  <si>
    <t>OSDE310</t>
  </si>
  <si>
    <t>Magdalena</t>
  </si>
  <si>
    <t>Mendez</t>
  </si>
  <si>
    <t>Libertad 1370</t>
  </si>
  <si>
    <t>mendezmaga@yahoo.com</t>
  </si>
  <si>
    <t>https://yca.org.ar/home/shop/checkout/order-received/47036/?key=wc_order_9koimAh4fbsOH</t>
  </si>
  <si>
    <t>https://yca.org.ar/home/shop/checkout/order-pay/47036/?pay_for_order=true&amp;key=wc_order_9koimAh4fbsOH</t>
  </si>
  <si>
    <t>Patos</t>
  </si>
  <si>
    <t>Sicardi</t>
  </si>
  <si>
    <t>Mariana</t>
  </si>
  <si>
    <t>Larumbe</t>
  </si>
  <si>
    <t>Escalada 3410.</t>
  </si>
  <si>
    <t>San Fernando</t>
  </si>
  <si>
    <t>B1644</t>
  </si>
  <si>
    <t>mlarumbe@unidadcom.com.ar</t>
  </si>
  <si>
    <t>https://yca.org.ar/home/shop/checkout/order-received/47043/?key=wc_order_dAgtB8fLbEc8q</t>
  </si>
  <si>
    <t>https://yca.org.ar/home/shop/checkout/order-pay/47043/?pay_for_order=true&amp;key=wc_order_dAgtB8fLbEc8q</t>
  </si>
  <si>
    <t>Ubuntu</t>
  </si>
  <si>
    <t>De Ezcurra</t>
  </si>
  <si>
    <t>GUEVARA</t>
  </si>
  <si>
    <t>Ausonia 2224, Vitacura</t>
  </si>
  <si>
    <t>CL-RM</t>
  </si>
  <si>
    <t>andresguevara@yahoo.com</t>
  </si>
  <si>
    <t>https://yca.org.ar/home/shop/checkout/order-received/47045/?key=wc_order_z9hNBQLbgm9Ru</t>
  </si>
  <si>
    <t>https://yca.org.ar/home/shop/checkout/order-pay/47045/?pay_for_order=true&amp;key=wc_order_z9hNBQLbgm9Ru</t>
  </si>
  <si>
    <t>Rasho</t>
  </si>
  <si>
    <t>CNP CHI</t>
  </si>
  <si>
    <t>Jacinta</t>
  </si>
  <si>
    <t>Guevara</t>
  </si>
  <si>
    <t>Isapre Cruz Blanca</t>
  </si>
  <si>
    <t>Maria del sol</t>
  </si>
  <si>
    <t>Pompilio</t>
  </si>
  <si>
    <t>del barco Centenera 794</t>
  </si>
  <si>
    <t>spompilio97@gmail.com</t>
  </si>
  <si>
    <t>https://yca.org.ar/home/shop/checkout/order-received/47061/?key=wc_order_cua4oE41fJeyl</t>
  </si>
  <si>
    <t>https://yca.org.ar/home/shop/checkout/order-pay/47061/?pay_for_order=true&amp;key=wc_order_cua4oE41fJeyl</t>
  </si>
  <si>
    <t>Phoenix</t>
  </si>
  <si>
    <t>Pedro Salvador</t>
  </si>
  <si>
    <t>Martínez Pompilio</t>
  </si>
  <si>
    <t>prevenciÃ³n salud</t>
  </si>
  <si>
    <t>Gabriel</t>
  </si>
  <si>
    <t>Cingolani</t>
  </si>
  <si>
    <t>Guatemala 108</t>
  </si>
  <si>
    <t>Soldini</t>
  </si>
  <si>
    <t>gabriel_cingolani@yahoo.com.ar</t>
  </si>
  <si>
    <t>https://yca.org.ar/home/shop/checkout/order-received/47069/?key=wc_order_mTBkz6WojmfZ4</t>
  </si>
  <si>
    <t>https://yca.org.ar/home/shop/checkout/order-pay/47069/?pay_for_order=true&amp;key=wc_order_mTBkz6WojmfZ4</t>
  </si>
  <si>
    <t>RRC</t>
  </si>
  <si>
    <t>Esencial</t>
  </si>
  <si>
    <t>Ricardo</t>
  </si>
  <si>
    <t>Castiglioni</t>
  </si>
  <si>
    <t>Larrea 1367</t>
  </si>
  <si>
    <t>8 27</t>
  </si>
  <si>
    <t>C1117ABK</t>
  </si>
  <si>
    <t>rjcastiglioni@gmail.com</t>
  </si>
  <si>
    <t>https://yca.org.ar/home/shop/checkout/order-received/47076/?key=wc_order_twd75iAVixCoF</t>
  </si>
  <si>
    <t>https://yca.org.ar/home/shop/checkout/order-pay/47076/?pay_for_order=true&amp;key=wc_order_twd75iAVixCoF</t>
  </si>
  <si>
    <t>Ruby</t>
  </si>
  <si>
    <t>rjcastiglioni@hotmail.com</t>
  </si>
  <si>
    <t>MARIA EUGENIA</t>
  </si>
  <si>
    <t>SUAREZ</t>
  </si>
  <si>
    <t>ESTRADA 491</t>
  </si>
  <si>
    <t>CAMPANA</t>
  </si>
  <si>
    <t>eugeniasuarezbordon@yahoo.com.ar</t>
  </si>
  <si>
    <t>https://yca.org.ar/home/shop/checkout/order-received/47080/?key=wc_order_SUI4QLMjaAmrs</t>
  </si>
  <si>
    <t>https://yca.org.ar/home/shop/checkout/order-pay/47080/?pay_for_order=true&amp;key=wc_order_SUI4QLMjaAmrs</t>
  </si>
  <si>
    <t>Juan Ignacio</t>
  </si>
  <si>
    <t>Badino</t>
  </si>
  <si>
    <t>MEDIFE</t>
  </si>
  <si>
    <t>sol</t>
  </si>
  <si>
    <t>garcia del rio</t>
  </si>
  <si>
    <t>almafuerte 1437</t>
  </si>
  <si>
    <t>sol@nidolab.com.ar</t>
  </si>
  <si>
    <t>https://yca.org.ar/home/shop/checkout/order-received/47082/?key=wc_order_6RRt5qk1fN3D5</t>
  </si>
  <si>
    <t>https://yca.org.ar/home/shop/checkout/order-pay/47082/?pay_for_order=true&amp;key=wc_order_6RRt5qk1fN3D5</t>
  </si>
  <si>
    <t>flecha del plata</t>
  </si>
  <si>
    <t>Felix</t>
  </si>
  <si>
    <t>Clavijo</t>
  </si>
  <si>
    <t>Roxana</t>
  </si>
  <si>
    <t>Oxilia</t>
  </si>
  <si>
    <t>Av. Del Libeetador 6422</t>
  </si>
  <si>
    <t>tana_oxilia@yahoo.com</t>
  </si>
  <si>
    <t>https://yca.org.ar/home/shop/checkout/order-received/47088/?key=wc_order_yLSWmnHyJty8c</t>
  </si>
  <si>
    <t>https://yca.org.ar/home/shop/checkout/order-pay/47088/?pay_for_order=true&amp;key=wc_order_yLSWmnHyJty8c</t>
  </si>
  <si>
    <t>Romero</t>
  </si>
  <si>
    <t>BERMUDEZ</t>
  </si>
  <si>
    <t>CAMINO DE LA RIBERA NORTE 398</t>
  </si>
  <si>
    <t>ACASSUSO</t>
  </si>
  <si>
    <t>bermudez@indictum.com.ar</t>
  </si>
  <si>
    <t>https://yca.org.ar/home/shop/checkout/order-received/47090/?key=wc_order_C7IWKltg374In</t>
  </si>
  <si>
    <t>https://yca.org.ar/home/shop/checkout/order-pay/47090/?pay_for_order=true&amp;key=wc_order_C7IWKltg374In</t>
  </si>
  <si>
    <t>CAPITAN LUIGI</t>
  </si>
  <si>
    <t>Toribio</t>
  </si>
  <si>
    <t>Bermudez Fioriti</t>
  </si>
  <si>
    <t>toribio@indictum.com.ar</t>
  </si>
  <si>
    <t>Ernesto</t>
  </si>
  <si>
    <t>Farber</t>
  </si>
  <si>
    <t>Lavallol 2453</t>
  </si>
  <si>
    <t>beccar</t>
  </si>
  <si>
    <t>B1643</t>
  </si>
  <si>
    <t>ernestofarber@yahoo.com.ar</t>
  </si>
  <si>
    <t>https://yca.org.ar/home/shop/checkout/order-received/47091/?key=wc_order_p8YAmoQlYpGpJ</t>
  </si>
  <si>
    <t>https://yca.org.ar/home/shop/checkout/order-pay/47091/?pay_for_order=true&amp;key=wc_order_p8YAmoQlYpGpJ</t>
  </si>
  <si>
    <t>mantaraya</t>
  </si>
  <si>
    <t>hospital alemana</t>
  </si>
  <si>
    <t>Aurelia</t>
  </si>
  <si>
    <t>Zulueta</t>
  </si>
  <si>
    <t>Callao 292</t>
  </si>
  <si>
    <t>ViÃ±a del Mar</t>
  </si>
  <si>
    <t>aurezulueta@gmail.com</t>
  </si>
  <si>
    <t>https://yca.org.ar/home/shop/checkout/order-received/47094/?key=wc_order_UBacD6zfgkzWt</t>
  </si>
  <si>
    <t>https://yca.org.ar/home/shop/checkout/order-pay/47094/?pay_for_order=true&amp;key=wc_order_UBacD6zfgkzWt</t>
  </si>
  <si>
    <t>Blue Lady</t>
  </si>
  <si>
    <t>Catalina</t>
  </si>
  <si>
    <t>Schuler</t>
  </si>
  <si>
    <t>Isapre Vida Tres</t>
  </si>
  <si>
    <t>IbaÃ±ez</t>
  </si>
  <si>
    <t>Las Nieves 3375 Vitacura</t>
  </si>
  <si>
    <t>fcoibanezp@gmail.com</t>
  </si>
  <si>
    <t>https://yca.org.ar/home/shop/checkout/order-received/47096/?key=wc_order_LoFQv6yw98vGI</t>
  </si>
  <si>
    <t>https://yca.org.ar/home/shop/checkout/order-pay/47096/?pay_for_order=true&amp;key=wc_order_LoFQv6yw98vGI</t>
  </si>
  <si>
    <t>Alicia</t>
  </si>
  <si>
    <t>Ibañez Volker</t>
  </si>
  <si>
    <t>Seguro viaje</t>
  </si>
  <si>
    <t>RAUL ALBERTO</t>
  </si>
  <si>
    <t>FERNANDEZ</t>
  </si>
  <si>
    <t>Caracas 1810</t>
  </si>
  <si>
    <t>General Pacheco</t>
  </si>
  <si>
    <t>labraulf@gmail.com</t>
  </si>
  <si>
    <t>https://yca.org.ar/home/shop/checkout/order-received/47098/?key=wc_order_kgXJPXaGJo8Yu</t>
  </si>
  <si>
    <t>https://yca.org.ar/home/shop/checkout/order-pay/47098/?pay_for_order=true&amp;key=wc_order_kgXJPXaGJo8Yu</t>
  </si>
  <si>
    <t>KIWI</t>
  </si>
  <si>
    <t>Lautaro Elias</t>
  </si>
  <si>
    <t>Massieri</t>
  </si>
  <si>
    <t>EcheverrÃ­a 1962</t>
  </si>
  <si>
    <t>cmassieri@hotmail.com</t>
  </si>
  <si>
    <t>https://yca.org.ar/home/shop/checkout/order-received/47100/?key=wc_order_7wGOLbf8FDTXV</t>
  </si>
  <si>
    <t>https://yca.org.ar/home/shop/checkout/order-pay/47100/?pay_for_order=true&amp;key=wc_order_7wGOLbf8FDTXV</t>
  </si>
  <si>
    <t>ARG 3676</t>
  </si>
  <si>
    <t>SwissMedical</t>
  </si>
  <si>
    <t>DelfÃ­n</t>
  </si>
  <si>
    <t>Beccar Varela</t>
  </si>
  <si>
    <t>Kennedy 1149</t>
  </si>
  <si>
    <t>delfinbv@hotmail.com</t>
  </si>
  <si>
    <t>https://yca.org.ar/home/shop/checkout/order-received/47109/?key=wc_order_cyWaIdXuFUHJ2</t>
  </si>
  <si>
    <t>https://yca.org.ar/home/shop/checkout/order-pay/47109/?pay_for_order=true&amp;key=wc_order_cyWaIdXuFUHJ2</t>
  </si>
  <si>
    <t>Ana</t>
  </si>
  <si>
    <t>Josefina</t>
  </si>
  <si>
    <t>Lavalle</t>
  </si>
  <si>
    <t>Leloir 962</t>
  </si>
  <si>
    <t>San isidro</t>
  </si>
  <si>
    <t>josefina.lafolie@gmail.com</t>
  </si>
  <si>
    <t>https://yca.org.ar/home/shop/checkout/order-received/47112/?key=wc_order_7vTHVqnV1tshu</t>
  </si>
  <si>
    <t>https://yca.org.ar/home/shop/checkout/order-pay/47112/?pay_for_order=true&amp;key=wc_order_7vTHVqnV1tshu</t>
  </si>
  <si>
    <t>Bahía</t>
  </si>
  <si>
    <t>González Montalvo</t>
  </si>
  <si>
    <t>Salgado</t>
  </si>
  <si>
    <t>salta 579</t>
  </si>
  <si>
    <t>martinez</t>
  </si>
  <si>
    <t>cebas77@gmail.com</t>
  </si>
  <si>
    <t>11 3853-0934</t>
  </si>
  <si>
    <t>https://yca.org.ar/home/shop/checkout/order-received/47127/?key=wc_order_v7QrKzQfYX0cq</t>
  </si>
  <si>
    <t>https://yca.org.ar/home/shop/checkout/order-pay/47127/?pay_for_order=true&amp;key=wc_order_v7QrKzQfYX0cq</t>
  </si>
  <si>
    <t>FENIX</t>
  </si>
  <si>
    <t>Facundo</t>
  </si>
  <si>
    <t>Salgado Calandrelli</t>
  </si>
  <si>
    <t>Carolina</t>
  </si>
  <si>
    <t>Baronti</t>
  </si>
  <si>
    <t>Entre Rios 311</t>
  </si>
  <si>
    <t>PISO 9</t>
  </si>
  <si>
    <t>ROSARIO - ROSARIO</t>
  </si>
  <si>
    <t>carolinabaronti@hotmail.com</t>
  </si>
  <si>
    <t>https://yca.org.ar/home/shop/checkout/order-received/47130/?key=wc_order_ClRAyPdpWgitl</t>
  </si>
  <si>
    <t>https://yca.org.ar/home/shop/checkout/order-pay/47130/?pay_for_order=true&amp;key=wc_order_ClRAyPdpWgitl</t>
  </si>
  <si>
    <t>Benitez Baronti</t>
  </si>
  <si>
    <t>OSPAC</t>
  </si>
  <si>
    <t>MartÃ­n</t>
  </si>
  <si>
    <t>JAGER</t>
  </si>
  <si>
    <t>La Rioja 2555</t>
  </si>
  <si>
    <t>S2152DNA</t>
  </si>
  <si>
    <t>jagerabogado@gmail.com</t>
  </si>
  <si>
    <t>https://yca.org.ar/home/shop/checkout/order-received/47132/?key=wc_order_TJVkkHQXxSBNc</t>
  </si>
  <si>
    <t>https://yca.org.ar/home/shop/checkout/order-pay/47132/?pay_for_order=true&amp;key=wc_order_TJVkkHQXxSBNc</t>
  </si>
  <si>
    <t>Amanda</t>
  </si>
  <si>
    <t>Jäger</t>
  </si>
  <si>
    <t>martinjgr@hotmail.com</t>
  </si>
  <si>
    <t>CAJA FORENSE</t>
  </si>
  <si>
    <t>Lucio</t>
  </si>
  <si>
    <t>Graham</t>
  </si>
  <si>
    <t>Carlos Casares 940</t>
  </si>
  <si>
    <t>luciograham@hotmail.com</t>
  </si>
  <si>
    <t>https://yca.org.ar/home/shop/checkout/order-received/47137/?key=wc_order_3Iwm4UbeKp8XW</t>
  </si>
  <si>
    <t>https://yca.org.ar/home/shop/checkout/order-pay/47137/?pay_for_order=true&amp;key=wc_order_3Iwm4UbeKp8XW</t>
  </si>
  <si>
    <t>Medicus</t>
  </si>
  <si>
    <t>Ezequiel</t>
  </si>
  <si>
    <t>BazÃ¡n</t>
  </si>
  <si>
    <t>Moldes 2460</t>
  </si>
  <si>
    <t>1 ""10""</t>
  </si>
  <si>
    <t>eco.atlantica.ar@gmail.com</t>
  </si>
  <si>
    <t>https://yca.org.ar/wc-api/WC_WooMercadoPago_Custom_Gateway/?data.id=179226061299&amp;source_news=webhook&amp;type=payment</t>
  </si>
  <si>
    <t>https://yca.org.ar/home/shop/checkout/order-pay/47141/?pay_for_order=true&amp;key=wc_order_ViTTJgi9YvfuR</t>
  </si>
  <si>
    <t>Gerónimo</t>
  </si>
  <si>
    <t>Bazán</t>
  </si>
  <si>
    <t>OSPJN</t>
  </si>
  <si>
    <t>Rogelio</t>
  </si>
  <si>
    <t>Pujals</t>
  </si>
  <si>
    <t>Ocampo 1244</t>
  </si>
  <si>
    <t>rogeliopujals@gmail.com</t>
  </si>
  <si>
    <t>https://yca.org.ar/wc-api/WC_WooMercadoPago_Custom_Gateway/?data.id=180222318804&amp;source_news=webhook&amp;type=payment</t>
  </si>
  <si>
    <t>https://yca.org.ar/home/shop/checkout/order-pay/47147/?pay_for_order=true&amp;key=wc_order_v7ULGyswNNzKo</t>
  </si>
  <si>
    <t>IAPOS</t>
  </si>
  <si>
    <t>MarÃ­a Elcira</t>
  </si>
  <si>
    <t>Boettner</t>
  </si>
  <si>
    <t>Uruguay 1130</t>
  </si>
  <si>
    <t>SAN PEDRO</t>
  </si>
  <si>
    <t>boettnerelcira@gmail.com</t>
  </si>
  <si>
    <t>https://yca.org.ar/home/shop/checkout/order-received/47150/?key=wc_order_x4qcrNp97Voxm</t>
  </si>
  <si>
    <t>https://yca.org.ar/home/shop/checkout/order-pay/47150/?pay_for_order=true&amp;key=wc_order_x4qcrNp97Voxm</t>
  </si>
  <si>
    <t>PLAN B</t>
  </si>
  <si>
    <t>Constantino</t>
  </si>
  <si>
    <t>Bonilla</t>
  </si>
  <si>
    <t>FEDERADA</t>
  </si>
  <si>
    <t>Federico</t>
  </si>
  <si>
    <t>Angeleri</t>
  </si>
  <si>
    <t>Formosa 155</t>
  </si>
  <si>
    <t>Mar del Plata</t>
  </si>
  <si>
    <t>federico.angeleri@gmail.com</t>
  </si>
  <si>
    <t>https://yca.org.ar/wc-api/WC_WooMercadoPago_Custom_Gateway/?data.id=179235461161&amp;source_news=webhook&amp;type=payment</t>
  </si>
  <si>
    <t>https://yca.org.ar/home/shop/checkout/order-pay/47152/?pay_for_order=true&amp;key=wc_order_pnbTwGEREmwj8</t>
  </si>
  <si>
    <t>MOANA</t>
  </si>
  <si>
    <t>Elena</t>
  </si>
  <si>
    <t>Ivonne</t>
  </si>
  <si>
    <t>Tailhade</t>
  </si>
  <si>
    <t>IbaÃ±ez 2426</t>
  </si>
  <si>
    <t>ivi25tai@gmail.com</t>
  </si>
  <si>
    <t>https://yca.org.ar/home/shop/checkout/order-received/47153/?key=wc_order_YEyT486y8PN5u</t>
  </si>
  <si>
    <t>https://yca.org.ar/home/shop/checkout/order-pay/47153/?pay_for_order=true&amp;key=wc_order_YEyT486y8PN5u</t>
  </si>
  <si>
    <t>Caviglia</t>
  </si>
  <si>
    <t>Manzitti</t>
  </si>
  <si>
    <t>Carhue 2065</t>
  </si>
  <si>
    <t>B1623</t>
  </si>
  <si>
    <t>lmanzitti@scms.edu.ar</t>
  </si>
  <si>
    <t>https://yca.org.ar/home/shop/checkout/order-received/47157/?key=wc_order_uhNx48Yxz5uQx</t>
  </si>
  <si>
    <t>https://yca.org.ar/home/shop/checkout/order-pay/47157/?pay_for_order=true&amp;key=wc_order_uhNx48Yxz5uQx</t>
  </si>
  <si>
    <t>Tichy 1</t>
  </si>
  <si>
    <t>Tessa</t>
  </si>
  <si>
    <t>Trolliet</t>
  </si>
  <si>
    <t>Bradley</t>
  </si>
  <si>
    <t>EspaÃ±a 1222</t>
  </si>
  <si>
    <t>franciscobradley@gmail.com</t>
  </si>
  <si>
    <t>https://yca.org.ar/wc-api/WC_WooMercadoPago_Custom_Gateway/?data.id=180246073658&amp;source_news=webhook&amp;type=payment</t>
  </si>
  <si>
    <t>https://yca.org.ar/home/shop/checkout/order-pay/47186/?pay_for_order=true&amp;key=wc_order_tpYHGwsHHUJ9s</t>
  </si>
  <si>
    <t>Rufina</t>
  </si>
  <si>
    <t>Damian</t>
  </si>
  <si>
    <t>Molinari</t>
  </si>
  <si>
    <t>thompson 474</t>
  </si>
  <si>
    <t>molinaridam@gmail.com</t>
  </si>
  <si>
    <t>https://yca.org.ar/wc-api/WC_WooMercadoPago_Custom_Gateway/?data.id=180255223486&amp;source_news=webhook&amp;type=payment</t>
  </si>
  <si>
    <t>https://yca.org.ar/home/shop/checkout/order-pay/47198/?pay_for_order=true&amp;key=wc_order_L9r2xq4k1BJlu</t>
  </si>
  <si>
    <t>DARS</t>
  </si>
  <si>
    <t>Claudia</t>
  </si>
  <si>
    <t>Bianchi</t>
  </si>
  <si>
    <t>Mgallanes 969</t>
  </si>
  <si>
    <t>bianchiclaudiam@gmail.com</t>
  </si>
  <si>
    <t>https://yca.org.ar/categoria-producto/regatas-monotipo/timoneles/</t>
  </si>
  <si>
    <t>https://yca.org.ar/home/shop/checkout/order-pay/47200/?pay_for_order=true&amp;key=wc_order_i1PyGkuvt5FaF</t>
  </si>
  <si>
    <t>Francesca</t>
  </si>
  <si>
    <t>Montauvan</t>
  </si>
  <si>
    <t>Osde210</t>
  </si>
  <si>
    <t>Strunz</t>
  </si>
  <si>
    <t>Ayacucho 1807</t>
  </si>
  <si>
    <t>emiliastrunz@gmail.com</t>
  </si>
  <si>
    <t>https://yca.org.ar/home/shop/checkout/order-received/47203/?key=wc_order_cGBQde8ggqZmg</t>
  </si>
  <si>
    <t>https://yca.org.ar/home/shop/checkout/order-pay/47203/?pay_for_order=true&amp;key=wc_order_cGBQde8ggqZmg</t>
  </si>
  <si>
    <t>Maeso</t>
  </si>
  <si>
    <t>https://yca.org.ar/home/shop/checkout/order-received/47204/?key=wc_order_kJzmFUE5qfSpJ</t>
  </si>
  <si>
    <t>https://yca.org.ar/home/shop/checkout/order-pay/47204/?pay_for_order=true&amp;key=wc_order_kJzmFUE5qfSpJ</t>
  </si>
  <si>
    <t>Guillermo Enrique</t>
  </si>
  <si>
    <t>FROGONE</t>
  </si>
  <si>
    <t>CABRERA 3340</t>
  </si>
  <si>
    <t>piso 5 depto 20</t>
  </si>
  <si>
    <t>gfrogone@gmail.com</t>
  </si>
  <si>
    <t>https://yca.org.ar/home/shop/checkout/order-received/47205/?key=wc_order_jde4iNMuseoXF</t>
  </si>
  <si>
    <t>https://yca.org.ar/home/shop/checkout/order-pay/47205/?pay_for_order=true&amp;key=wc_order_jde4iNMuseoXF</t>
  </si>
  <si>
    <t>MOONLIGHT</t>
  </si>
  <si>
    <t>Frogone</t>
  </si>
  <si>
    <t>csfrogone@gmail.com</t>
  </si>
  <si>
    <t>GALENO</t>
  </si>
  <si>
    <t>de Ugarriza</t>
  </si>
  <si>
    <t>Pirovano 568</t>
  </si>
  <si>
    <t>cdeugarr@gmail.com</t>
  </si>
  <si>
    <t>https://yca.org.ar/home/shop/checkout/order-received/47208/?key=wc_order_wYx8apRyjS0Tl</t>
  </si>
  <si>
    <t>https://yca.org.ar/home/shop/checkout/order-pay/47208/?pay_for_order=true&amp;key=wc_order_wYx8apRyjS0Tl</t>
  </si>
  <si>
    <t>Faro de Chiche</t>
  </si>
  <si>
    <t>Bianca</t>
  </si>
  <si>
    <t>Di Feo</t>
  </si>
  <si>
    <t>corre para ARG</t>
  </si>
  <si>
    <t>Carlos Federico</t>
  </si>
  <si>
    <t>Napoli</t>
  </si>
  <si>
    <t>Catamarca 2263, Olivos</t>
  </si>
  <si>
    <t>B1636DJA</t>
  </si>
  <si>
    <t>carlos_napoli@yahoo.com</t>
  </si>
  <si>
    <t>https://yca.org.ar/home/shop/checkout/order-received/47209/?key=wc_order_grGhySz3sWrPH</t>
  </si>
  <si>
    <t>https://yca.org.ar/home/shop/checkout/order-pay/47209/?pay_for_order=true&amp;key=wc_order_grGhySz3sWrPH</t>
  </si>
  <si>
    <t>USA</t>
  </si>
  <si>
    <t>YCO</t>
  </si>
  <si>
    <t>Gianmarco Federico</t>
  </si>
  <si>
    <t>Napoli Fabricius</t>
  </si>
  <si>
    <t>Lisandro</t>
  </si>
  <si>
    <t>Llopart</t>
  </si>
  <si>
    <t>Buchanan 450</t>
  </si>
  <si>
    <t>juli_blando@hotmail.com</t>
  </si>
  <si>
    <t>https://yca.org.ar/home/shop/checkout/order-pay/47212/?key=wc_order_vDfQ4tCJsEF3I</t>
  </si>
  <si>
    <t>https://yca.org.ar/home/shop/checkout/order-pay/47212/?pay_for_order=true&amp;key=wc_order_vDfQ4tCJsEF3I</t>
  </si>
  <si>
    <t>Osseg</t>
  </si>
  <si>
    <t>Sebastian</t>
  </si>
  <si>
    <t>Guerra</t>
  </si>
  <si>
    <t>Liniers 361</t>
  </si>
  <si>
    <t>A</t>
  </si>
  <si>
    <t>sebastianguerracvr@icloud.com</t>
  </si>
  <si>
    <t>https://yca.org.ar/wc-api/WC_WooMercadoPago_Custom_Gateway/?data.id=179271546015&amp;source_news=webhook&amp;type=payment</t>
  </si>
  <si>
    <t>https://yca.org.ar/home/shop/checkout/order-pay/47213/?pay_for_order=true&amp;key=wc_order_CatuJSf0cuBQm</t>
  </si>
  <si>
    <t>Olivia Margarita</t>
  </si>
  <si>
    <t>Federada Salud</t>
  </si>
  <si>
    <t>Perez</t>
  </si>
  <si>
    <t>Las hualtatas 10669</t>
  </si>
  <si>
    <t>ignacioperezvergara@gmail.com</t>
  </si>
  <si>
    <t>https://yca.org.ar/home/shop/checkout/order-received/47214/?key=wc_order_842pCxGf7cj9d</t>
  </si>
  <si>
    <t>https://yca.org.ar/home/shop/checkout/order-pay/47214/?pay_for_order=true&amp;key=wc_order_842pCxGf7cj9d</t>
  </si>
  <si>
    <t>Isidora</t>
  </si>
  <si>
    <t>Consalud</t>
  </si>
  <si>
    <t>Tasin</t>
  </si>
  <si>
    <t>Alborada s/n, Campo Chico CC</t>
  </si>
  <si>
    <t>sergio.tasin@gmail.com</t>
  </si>
  <si>
    <t>https://yca.org.ar/wc-api/WC_WooMercadoPago_Custom_Gateway/?data.id=179276550469&amp;source_news=webhook&amp;type=payment</t>
  </si>
  <si>
    <t>https://yca.org.ar/home/shop/checkout/order-pay/47215/?pay_for_order=true&amp;key=wc_order_k9GeWnTRgwSEF</t>
  </si>
  <si>
    <t>MINI-HAIFISCH</t>
  </si>
  <si>
    <t>Giovanna Isabella</t>
  </si>
  <si>
    <t>DIEGO IGNACIO</t>
  </si>
  <si>
    <t>SARTORI</t>
  </si>
  <si>
    <t>ING. ACEVEDO 1431 DEPTO 15</t>
  </si>
  <si>
    <t>diegos1701@yahoo.com.ar</t>
  </si>
  <si>
    <t>https://yca.org.ar/home/shop/checkout/order-received/47220/?key=wc_order_il1Er9vIGZnU6</t>
  </si>
  <si>
    <t>https://yca.org.ar/home/shop/checkout/order-pay/47220/?pay_for_order=true&amp;key=wc_order_il1Er9vIGZnU6</t>
  </si>
  <si>
    <t>Valiente</t>
  </si>
  <si>
    <t>CNVC</t>
  </si>
  <si>
    <t>Sartori</t>
  </si>
  <si>
    <t>Rodolfo</t>
  </si>
  <si>
    <t>Zardini</t>
  </si>
  <si>
    <t>Bulnes 2078</t>
  </si>
  <si>
    <t>3b</t>
  </si>
  <si>
    <t>rzardini@hotmail.com</t>
  </si>
  <si>
    <t>https://yca.org.ar/home/shop/checkout/order-received/47228/?key=wc_order_MQBD5gSmtmcJi</t>
  </si>
  <si>
    <t>https://yca.org.ar/home/shop/checkout/order-pay/47228/?pay_for_order=true&amp;key=wc_order_MQBD5gSmtmcJi</t>
  </si>
  <si>
    <t>Salty</t>
  </si>
  <si>
    <t>XL</t>
  </si>
  <si>
    <t>https://yca.org.ar/wc-api/WC_WooMercadoPago_Custom_Gateway/?data.id=179291666847&amp;source_news=webhook&amp;type=payment</t>
  </si>
  <si>
    <t>https://yca.org.ar/home/shop/checkout/order-pay/47229/?pay_for_order=true&amp;key=wc_order_QO6disol2EZ5j</t>
  </si>
  <si>
    <t>Sonic</t>
  </si>
  <si>
    <t>Villamil</t>
  </si>
  <si>
    <t>Boulevard de todos los santos 5601</t>
  </si>
  <si>
    <t>Lote 335</t>
  </si>
  <si>
    <t>mongue21@yahoo.com</t>
  </si>
  <si>
    <t>https://yca.org.ar/home/shop/checkout/order-received/47233/?key=wc_order_EsUfXhhb32zaa</t>
  </si>
  <si>
    <t>https://yca.org.ar/home/shop/checkout/order-pay/47233/?pay_for_order=true&amp;key=wc_order_EsUfXhhb32zaa</t>
  </si>
  <si>
    <t>Rivera Varas</t>
  </si>
  <si>
    <t>Avenida Jorge Newbery 4555</t>
  </si>
  <si>
    <t>riveravarassergio@yahoo.com.ar</t>
  </si>
  <si>
    <t>https://yca.org.ar/home/shop/checkout/order-received/47234/?key=wc_order_sAQ948MDMivhz</t>
  </si>
  <si>
    <t>https://yca.org.ar/home/shop/checkout/order-pay/47234/?pay_for_order=true&amp;key=wc_order_sAQ948MDMivhz</t>
  </si>
  <si>
    <t>Fausto Gabriel</t>
  </si>
  <si>
    <t>Hernan</t>
  </si>
  <si>
    <t>Sfoggia</t>
  </si>
  <si>
    <t>Tata 4470</t>
  </si>
  <si>
    <t>Caseros</t>
  </si>
  <si>
    <t>hernan_sfo@hotmail.com</t>
  </si>
  <si>
    <t>https://yca.org.ar/home/shop/checkout/order-received/47236/?key=wc_order_xR5tPPnFevwPw</t>
  </si>
  <si>
    <t>https://yca.org.ar/home/shop/checkout/order-pay/47236/?pay_for_order=true&amp;key=wc_order_xR5tPPnFevwPw</t>
  </si>
  <si>
    <t>Facundo Tomas</t>
  </si>
  <si>
    <t>Sfoggia Nuño</t>
  </si>
  <si>
    <t>Elizabeth</t>
  </si>
  <si>
    <t>Cuadra</t>
  </si>
  <si>
    <t>Lote 57 Barrio Cerrado Amarras Del Sol</t>
  </si>
  <si>
    <t>ParanÃ¡</t>
  </si>
  <si>
    <t>E</t>
  </si>
  <si>
    <t>chipi275@hotmail.com</t>
  </si>
  <si>
    <t>https://yca.org.ar/home/shop/checkout/order-received/47238/?key=wc_order_TJCLFqkZz5CtW</t>
  </si>
  <si>
    <t>https://yca.org.ar/home/shop/checkout/order-pay/47238/?pay_for_order=true&amp;key=wc_order_TJCLFqkZz5CtW</t>
  </si>
  <si>
    <t>CNP</t>
  </si>
  <si>
    <t>Juan Martín</t>
  </si>
  <si>
    <t>Aguilar</t>
  </si>
  <si>
    <t>Gonzalo</t>
  </si>
  <si>
    <t>Josa</t>
  </si>
  <si>
    <t>Bertres</t>
  </si>
  <si>
    <t>gonzalojosa@gmail.com</t>
  </si>
  <si>
    <t>https://yca.org.ar/home/shop/checkout/order-received/47239/?key=wc_order_qhNKVaSE5M4Bi</t>
  </si>
  <si>
    <t>https://yca.org.ar/home/shop/checkout/order-pay/47239/?pay_for_order=true&amp;key=wc_order_qhNKVaSE5M4Bi</t>
  </si>
  <si>
    <t>Rayo</t>
  </si>
  <si>
    <t>Valentin</t>
  </si>
  <si>
    <t>Luis Pasteur</t>
  </si>
  <si>
    <t>Mario</t>
  </si>
  <si>
    <t>Torino</t>
  </si>
  <si>
    <t>Tronador 5629</t>
  </si>
  <si>
    <t>Dique lujan</t>
  </si>
  <si>
    <t>caiguas@gmail.com</t>
  </si>
  <si>
    <t>https://yca.org.ar/home/shop/checkout/order-received/47246/?key=wc_order_9wai5S08Ke6HK</t>
  </si>
  <si>
    <t>https://yca.org.ar/home/shop/checkout/order-pay/47246/?pay_for_order=true&amp;key=wc_order_9wai5S08Ke6HK</t>
  </si>
  <si>
    <t>Relampago</t>
  </si>
  <si>
    <t>Victorel</t>
  </si>
  <si>
    <t>Urquiza 89</t>
  </si>
  <si>
    <t>3 5</t>
  </si>
  <si>
    <t>lucianovictorel@gmail.com</t>
  </si>
  <si>
    <t>https://yca.org.ar/wc-api/WC_WooMercadoPago_Custom_Gateway/?data.id=180315443644&amp;source_news=webhook&amp;type=payment</t>
  </si>
  <si>
    <t>https://yca.org.ar/home/shop/checkout/order-pay/47254/?pay_for_order=true&amp;key=wc_order_mBQYYHTtXI0ZE</t>
  </si>
  <si>
    <t>Mabel</t>
  </si>
  <si>
    <t>Cayetana</t>
  </si>
  <si>
    <t>Manuela</t>
  </si>
  <si>
    <t>Villanueva</t>
  </si>
  <si>
    <t>Int. Tirigall 1800</t>
  </si>
  <si>
    <t>manuvillanueva@hotmail.com</t>
  </si>
  <si>
    <t>https://yca.org.ar/home/shop/checkout/order-received/47261/?key=wc_order_w76fxaPNfoJde</t>
  </si>
  <si>
    <t>https://yca.org.ar/home/shop/checkout/order-pay/47261/?pay_for_order=true&amp;key=wc_order_w76fxaPNfoJde</t>
  </si>
  <si>
    <t>Hornett</t>
  </si>
  <si>
    <t>Santos</t>
  </si>
  <si>
    <t>Catinari</t>
  </si>
  <si>
    <t>Michel</t>
  </si>
  <si>
    <t>Grether</t>
  </si>
  <si>
    <t>EspaÃ±a 744</t>
  </si>
  <si>
    <t>cm.grether@icloud.com</t>
  </si>
  <si>
    <t>https://yca.org.ar/home/shop/checkout/order-received/47266/?key=wc_order_FlHhAiQQwwHAd</t>
  </si>
  <si>
    <t>https://yca.org.ar/home/shop/checkout/order-pay/47266/?pay_for_order=true&amp;key=wc_order_FlHhAiQQwwHAd</t>
  </si>
  <si>
    <t>Alexia</t>
  </si>
  <si>
    <t>Alexia Sophia</t>
  </si>
  <si>
    <t>ANDRES</t>
  </si>
  <si>
    <t>ETCHEGOYEN</t>
  </si>
  <si>
    <t>Arcos 2145</t>
  </si>
  <si>
    <t>andres.etchegoyen@gmail.com</t>
  </si>
  <si>
    <t>https://yca.org.ar/home/shop/checkout/order-received/47268/?key=wc_order_PYUtweBIucgXq</t>
  </si>
  <si>
    <t>https://yca.org.ar/home/shop/checkout/order-pay/47268/?pay_for_order=true&amp;key=wc_order_PYUtweBIucgXq</t>
  </si>
  <si>
    <t>AraÃ±a</t>
  </si>
  <si>
    <t>Etchegoyen</t>
  </si>
  <si>
    <t>Jorge</t>
  </si>
  <si>
    <t>Uhrin</t>
  </si>
  <si>
    <t>Echeverria 2210</t>
  </si>
  <si>
    <t>jorge.uhrin@gmail.com</t>
  </si>
  <si>
    <t>https://yca.org.ar/home/shop/checkout/order-pay/47269/?pay_for_order=true&amp;key=wc_order_gn3THmHhEZrpL</t>
  </si>
  <si>
    <t>Uhrin Dodero</t>
  </si>
  <si>
    <t>polydodero@yahoo.com</t>
  </si>
  <si>
    <t>MarÃ­a magdalena</t>
  </si>
  <si>
    <t>Martinez</t>
  </si>
  <si>
    <t>Suipacha 271 bis</t>
  </si>
  <si>
    <t>Funes</t>
  </si>
  <si>
    <t>malena699@hotmail.com</t>
  </si>
  <si>
    <t>https://yca.org.ar/home/shop/checkout/order-received/47272/?key=wc_order_qqfuFQA7qDSuh</t>
  </si>
  <si>
    <t>https://yca.org.ar/home/shop/checkout/order-pay/47272/?pay_for_order=true&amp;key=wc_order_qqfuFQA7qDSuh</t>
  </si>
  <si>
    <t>Octavio</t>
  </si>
  <si>
    <t>Mauro</t>
  </si>
  <si>
    <t>Avalian</t>
  </si>
  <si>
    <t>Bacci</t>
  </si>
  <si>
    <t>Virrey del pino</t>
  </si>
  <si>
    <t>chechi24@hotmail.com</t>
  </si>
  <si>
    <t>https://yca.org.ar/wc-api/WC_WooMercadoPago_Custom_Gateway/?data.id=180340389272&amp;source_news=webhook&amp;type=payment</t>
  </si>
  <si>
    <t>https://yca.org.ar/home/shop/checkout/order-pay/47273/?pay_for_order=true&amp;key=wc_order_JeaT54TEVjwdH</t>
  </si>
  <si>
    <t>Garcia Delatour</t>
  </si>
  <si>
    <t>Emiliano</t>
  </si>
  <si>
    <t>Solis</t>
  </si>
  <si>
    <t>485 num 1085</t>
  </si>
  <si>
    <t>solisemiliano78@gmail.com</t>
  </si>
  <si>
    <t>https://yca.org.ar/home/shop/checkout/order-received/47274/?key=wc_order_Nr24EMFdShDjq</t>
  </si>
  <si>
    <t>https://yca.org.ar/home/shop/checkout/order-pay/47274/?pay_for_order=true&amp;key=wc_order_Nr24EMFdShDjq</t>
  </si>
  <si>
    <t>S/N</t>
  </si>
  <si>
    <t>Justina</t>
  </si>
  <si>
    <t>Solís</t>
  </si>
  <si>
    <t>Galeno</t>
  </si>
  <si>
    <t>Beltramo</t>
  </si>
  <si>
    <t>Las Garzas 369</t>
  </si>
  <si>
    <t>RoldÃ¡n</t>
  </si>
  <si>
    <t>alfredo.beltramo@gmail.com</t>
  </si>
  <si>
    <t>https://yca.org.ar/home/shop/checkout/order-received/47275/?key=wc_order_JGbs9FEXjc7Vp</t>
  </si>
  <si>
    <t>https://yca.org.ar/home/shop/checkout/order-pay/47275/?pay_for_order=true&amp;key=wc_order_JGbs9FEXjc7Vp</t>
  </si>
  <si>
    <t>Nicolas</t>
  </si>
  <si>
    <t>IngenierÃ­a Salud</t>
  </si>
  <si>
    <t>https://yca.org.ar/home/shop/checkout/order-received/47277/?key=wc_order_JlqKL0EfjLbLO</t>
  </si>
  <si>
    <t>https://yca.org.ar/home/shop/checkout/order-pay/47277/?pay_for_order=true&amp;key=wc_order_JlqKL0EfjLbLO</t>
  </si>
  <si>
    <t>Jimena</t>
  </si>
  <si>
    <t>vidal</t>
  </si>
  <si>
    <t>Mendoza</t>
  </si>
  <si>
    <t>jimenavidal77@gmail.com</t>
  </si>
  <si>
    <t>https://yca.org.ar/home/shop/checkout/order-received/47280/?key=wc_order_iCrXRUY3HXony</t>
  </si>
  <si>
    <t>https://yca.org.ar/home/shop/checkout/order-pay/47280/?pay_for_order=true&amp;key=wc_order_iCrXRUY3HXony</t>
  </si>
  <si>
    <t>Vittorio Martino</t>
  </si>
  <si>
    <t>Zitta</t>
  </si>
  <si>
    <t>jimeavidal77@gmail.com</t>
  </si>
  <si>
    <t>osde310</t>
  </si>
  <si>
    <t>Intendente Alfaro 725</t>
  </si>
  <si>
    <t>Acassuso</t>
  </si>
  <si>
    <t>federico.perez.muzzio@gmail.com</t>
  </si>
  <si>
    <t>https://yca.org.ar/home/shop/checkout/order-received/47285/?key=wc_order_kpt0CwZRlivZ0</t>
  </si>
  <si>
    <t>https://yca.org.ar/home/shop/checkout/order-pay/47285/?pay_for_order=true&amp;key=wc_order_kpt0CwZRlivZ0</t>
  </si>
  <si>
    <t>Sailor Junior</t>
  </si>
  <si>
    <t>Perez Bonadonna</t>
  </si>
  <si>
    <t>Rodrigo</t>
  </si>
  <si>
    <t>Lueg</t>
  </si>
  <si>
    <t>Madame Curie</t>
  </si>
  <si>
    <t>luegstiftung@yahoo.com.ar</t>
  </si>
  <si>
    <t>https://yca.org.ar/home/shop/checkout/order-received/47287/?key=wc_order_XJfTAnhGLPj9L</t>
  </si>
  <si>
    <t>https://yca.org.ar/home/shop/checkout/order-pay/47287/?pay_for_order=true&amp;key=wc_order_XJfTAnhGLPj9L</t>
  </si>
  <si>
    <t>Franz</t>
  </si>
  <si>
    <t>Bernadette</t>
  </si>
  <si>
    <t>Lagarde</t>
  </si>
  <si>
    <t>Teniente General Lonardi 153</t>
  </si>
  <si>
    <t>berny_lagarde@yahoo.com.ar</t>
  </si>
  <si>
    <t>https://yca.org.ar/home/shop/checkout/order-received/47290/?key=wc_order_ZeJViKGveI8dA</t>
  </si>
  <si>
    <t>https://yca.org.ar/home/shop/checkout/order-pay/47290/?pay_for_order=true&amp;key=wc_order_ZeJViKGveI8dA</t>
  </si>
  <si>
    <t>Agustina</t>
  </si>
  <si>
    <t>Fidanza Lagarde</t>
  </si>
  <si>
    <t>juanpablo.fidanza@gmail.com</t>
  </si>
  <si>
    <t>Osde 310</t>
  </si>
  <si>
    <t>AnalÃ­a</t>
  </si>
  <si>
    <t>Montes</t>
  </si>
  <si>
    <t>Fray Cayetano RodrÃ­guez 1060</t>
  </si>
  <si>
    <t>San Pedro</t>
  </si>
  <si>
    <t>analia.montes@hotmail.com</t>
  </si>
  <si>
    <t>https://yca.org.ar/home/shop/checkout/order-received/47292/?key=wc_order_iiqhEr7y6Pc7M</t>
  </si>
  <si>
    <t>https://yca.org.ar/home/shop/checkout/order-pay/47292/?pay_for_order=true&amp;key=wc_order_iiqhEr7y6Pc7M</t>
  </si>
  <si>
    <t>Álvaro</t>
  </si>
  <si>
    <t>Barré</t>
  </si>
  <si>
    <t>UniÃ³n Personal Monotributo</t>
  </si>
  <si>
    <t>Volco</t>
  </si>
  <si>
    <t>3 de Febrero 2708</t>
  </si>
  <si>
    <t>carov2012@gmail.com</t>
  </si>
  <si>
    <t>https://yca.org.ar/home/shop/checkout/order-received/47294/?key=wc_order_ahirB6qvS5qSo</t>
  </si>
  <si>
    <t>https://yca.org.ar/home/shop/checkout/order-pay/47294/?pay_for_order=true&amp;key=wc_order_ahirB6qvS5qSo</t>
  </si>
  <si>
    <t>Suar Volco</t>
  </si>
  <si>
    <t>lucas.suar@gmail.com</t>
  </si>
  <si>
    <t>Caja Notarial CABA</t>
  </si>
  <si>
    <t>https://yca.org.ar/home/shop/checkout/order-received/47296/?key=wc_order_c5UANRlWPsXyv</t>
  </si>
  <si>
    <t>https://yca.org.ar/home/shop/checkout/order-pay/47296/?pay_for_order=true&amp;key=wc_order_c5UANRlWPsXyv</t>
  </si>
  <si>
    <t>Thiago Nahuel</t>
  </si>
  <si>
    <t>Garcia Cecolisio</t>
  </si>
  <si>
    <t>Los Paraisos 1141</t>
  </si>
  <si>
    <t>gfgg100@yahoo.com.ar</t>
  </si>
  <si>
    <t>https://yca.org.ar/home/shop/checkout/order-received/47301/?key=wc_order_KIUiBmlSIuidf</t>
  </si>
  <si>
    <t>https://yca.org.ar/home/shop/checkout/order-pay/47301/?pay_for_order=true&amp;key=wc_order_KIUiBmlSIuidf</t>
  </si>
  <si>
    <t>Pegasso</t>
  </si>
  <si>
    <t>Picco</t>
  </si>
  <si>
    <t>Obispo Terrero 1075</t>
  </si>
  <si>
    <t>piccoalejandro@gmail.com</t>
  </si>
  <si>
    <t>https://yca.org.ar/home/shop/checkout/order-received/47303/?key=wc_order_1Lzl2KDraxxLC</t>
  </si>
  <si>
    <t>https://yca.org.ar/home/shop/checkout/order-pay/47303/?pay_for_order=true&amp;key=wc_order_1Lzl2KDraxxLC</t>
  </si>
  <si>
    <t>Floky</t>
  </si>
  <si>
    <t>Picco Güimil</t>
  </si>
  <si>
    <t>Paula Graciela</t>
  </si>
  <si>
    <t>RodrÃ­guez</t>
  </si>
  <si>
    <t>Ruta 9 km 86,5 Barrio Cerrado Solares del Carmen</t>
  </si>
  <si>
    <t>Lote 12</t>
  </si>
  <si>
    <t>ZÃ¡rate</t>
  </si>
  <si>
    <t>paulagracielarodriguez@gmail.com</t>
  </si>
  <si>
    <t>https://yca.org.ar/home/shop/checkout/order-received/47311/?key=wc_order_DTrYpZGpOHDAU</t>
  </si>
  <si>
    <t>https://yca.org.ar/home/shop/checkout/order-pay/47311/?pay_for_order=true&amp;key=wc_order_DTrYpZGpOHDAU</t>
  </si>
  <si>
    <t>Sofía Victoria</t>
  </si>
  <si>
    <t>Reynoso</t>
  </si>
  <si>
    <t>OSDE PLAN 310</t>
  </si>
  <si>
    <t>Ines</t>
  </si>
  <si>
    <t>Bvd de todos los santos 5601</t>
  </si>
  <si>
    <t>Tigre</t>
  </si>
  <si>
    <t>ine_guerra@hotmail.com</t>
  </si>
  <si>
    <t>https://yca.org.ar/home/shop/checkout/order-received/47315/?key=wc_order_8WhOLX9h3w2gi</t>
  </si>
  <si>
    <t>https://yca.org.ar/home/shop/checkout/order-pay/47315/?pay_for_order=true&amp;key=wc_order_8WhOLX9h3w2gi</t>
  </si>
  <si>
    <t>Chimuelo</t>
  </si>
  <si>
    <t>Anahi</t>
  </si>
  <si>
    <t>Vera</t>
  </si>
  <si>
    <t>Carlos de la riestra 243</t>
  </si>
  <si>
    <t>anahiamancay@hotmail.com</t>
  </si>
  <si>
    <t>https://yca.org.ar/home/shop/checkout/order-received/47338/?key=wc_order_6YkxHngDmkyjD</t>
  </si>
  <si>
    <t>https://yca.org.ar/home/shop/checkout/order-pay/47338/?pay_for_order=true&amp;key=wc_order_6YkxHngDmkyjD</t>
  </si>
  <si>
    <t>Santorsola</t>
  </si>
  <si>
    <t>Sancor salud</t>
  </si>
  <si>
    <t>mariana</t>
  </si>
  <si>
    <t>gallo</t>
  </si>
  <si>
    <t>monroe 885</t>
  </si>
  <si>
    <t>PB</t>
  </si>
  <si>
    <t>gallosacerdote@gmail.com</t>
  </si>
  <si>
    <t>https://yca.org.ar/home/shop/checkout/order-received/47340/?key=wc_order_SbZtQtK6ZlAC1</t>
  </si>
  <si>
    <t>https://yca.org.ar/home/shop/checkout/order-pay/47340/?pay_for_order=true&amp;key=wc_order_SbZtQtK6ZlAC1</t>
  </si>
  <si>
    <t>AR7155</t>
  </si>
  <si>
    <t>Felicitas</t>
  </si>
  <si>
    <t>Paradiso</t>
  </si>
  <si>
    <t>Cano</t>
  </si>
  <si>
    <t>Las Heras 3524</t>
  </si>
  <si>
    <t>Villa Martelli</t>
  </si>
  <si>
    <t>ancdres@hotmail.com</t>
  </si>
  <si>
    <t>https://yca.org.ar/home/shop/checkout/order-received/47341/?key=wc_order_8HiNQsjifccoy</t>
  </si>
  <si>
    <t>https://yca.org.ar/home/shop/checkout/order-pay/47341/?pay_for_order=true&amp;key=wc_order_8HiNQsjifccoy</t>
  </si>
  <si>
    <t>Fantasi</t>
  </si>
  <si>
    <t>Cano Ricciardi</t>
  </si>
  <si>
    <t>OSDE 310</t>
  </si>
  <si>
    <t>Maldonado</t>
  </si>
  <si>
    <t>Vito dumas</t>
  </si>
  <si>
    <t>andi_maldonado@icloud.com</t>
  </si>
  <si>
    <t>https://yca.org.ar/home/shop/checkout/order-pay/47352/?pay_for_order=true&amp;key=wc_order_Zz8pA6TP1KI3y</t>
  </si>
  <si>
    <t>Rufino</t>
  </si>
  <si>
    <t>Huanay</t>
  </si>
  <si>
    <t>Ruperto mazza</t>
  </si>
  <si>
    <t>Quitosluis@gmail.com</t>
  </si>
  <si>
    <t>https://yca.org.ar/home/shop/checkout/order-received/47364/?key=wc_order_sXP0OxiDeGPcA</t>
  </si>
  <si>
    <t>https://yca.org.ar/home/shop/checkout/order-pay/47364/?pay_for_order=true&amp;key=wc_order_sXP0OxiDeGPcA</t>
  </si>
  <si>
    <t>Mia</t>
  </si>
  <si>
    <t>Mia Milagros</t>
  </si>
  <si>
    <t>Huanay Meza</t>
  </si>
  <si>
    <t>Maria Magdalena</t>
  </si>
  <si>
    <t>Galvan</t>
  </si>
  <si>
    <t>518 1479</t>
  </si>
  <si>
    <t>magdalenagalvan@gmail.com</t>
  </si>
  <si>
    <t>221 506 8608</t>
  </si>
  <si>
    <t>https://yca.org.ar/home/shop/checkout/order-received/47367/?key=wc_order_SKbCxoq8xmjL2</t>
  </si>
  <si>
    <t>https://yca.org.ar/home/shop/checkout/order-pay/47367/?pay_for_order=true&amp;key=wc_order_SKbCxoq8xmjL2</t>
  </si>
  <si>
    <t>Duffard</t>
  </si>
  <si>
    <t>BenÃ­tez</t>
  </si>
  <si>
    <t>benitezca@hotmail.com</t>
  </si>
  <si>
    <t>https://yca.org.ar/home/shop/checkout/order-received/47368/?key=wc_order_dXmBp5n84FFwO</t>
  </si>
  <si>
    <t>https://yca.org.ar/home/shop/checkout/order-pay/47368/?pay_for_order=true&amp;key=wc_order_dXmBp5n84FFwO</t>
  </si>
  <si>
    <t>Eva</t>
  </si>
  <si>
    <t>Benítez</t>
  </si>
  <si>
    <t>ELISA</t>
  </si>
  <si>
    <t>DESCHAMPS</t>
  </si>
  <si>
    <t>33 672</t>
  </si>
  <si>
    <t>ELIDESCHAMPS@GMAIL.COM</t>
  </si>
  <si>
    <t>https://yca.org.ar/home/shop/checkout/order-received/47370/?key=wc_order_OOpPUX99GR8Fl</t>
  </si>
  <si>
    <t>https://yca.org.ar/home/shop/checkout/order-pay/47370/?pay_for_order=true&amp;key=wc_order_OOpPUX99GR8Fl</t>
  </si>
  <si>
    <t>Gascon Deschamps</t>
  </si>
  <si>
    <t>Arcemis</t>
  </si>
  <si>
    <t>67 NRO 523 ENTRE 5 Y 6</t>
  </si>
  <si>
    <t>4TO</t>
  </si>
  <si>
    <t>sarcemis@gmail.com</t>
  </si>
  <si>
    <t>https://yca.org.ar/home/shop/checkout/order-received/47375/?key=wc_order_ZsxulSmztVus8</t>
  </si>
  <si>
    <t>https://yca.org.ar/home/shop/checkout/order-pay/47375/?pay_for_order=true&amp;key=wc_order_ZsxulSmztVus8</t>
  </si>
  <si>
    <t>AR3637</t>
  </si>
  <si>
    <t>Polo</t>
  </si>
  <si>
    <t>dramercedeslarenas@gmail.com</t>
  </si>
  <si>
    <t>https://yca.org.ar/home/shop/checkout/order-received/47385/?key=wc_order_rOedMb4YivuwD</t>
  </si>
  <si>
    <t>https://yca.org.ar/home/shop/checkout/order-pay/47385/?pay_for_order=true&amp;key=wc_order_rOedMb4YivuwD</t>
  </si>
  <si>
    <t>Iriarte Larenas</t>
  </si>
  <si>
    <t>https://yca.org.ar/home/shop/checkout/order-received/47386/?key=wc_order_YH9zBQeLAxBv9</t>
  </si>
  <si>
    <t>https://yca.org.ar/home/shop/checkout/order-pay/47386/?pay_for_order=true&amp;key=wc_order_YH9zBQeLAxBv9</t>
  </si>
  <si>
    <t>jnchf78@gmail.com</t>
  </si>
  <si>
    <t>https://yca.org.ar/home/shop/checkout/order-received/47387/?key=wc_order_PcunECAOWm4yo</t>
  </si>
  <si>
    <t>https://yca.org.ar/home/shop/checkout/order-pay/47387/?pay_for_order=true&amp;key=wc_order_PcunECAOWm4yo</t>
  </si>
  <si>
    <t>.</t>
  </si>
  <si>
    <t>Chaparro Latorre</t>
  </si>
  <si>
    <t>Riesco</t>
  </si>
  <si>
    <t>megomezledesma@gmail.com</t>
  </si>
  <si>
    <t>223-5-264580</t>
  </si>
  <si>
    <t>https://yca.org.ar/home/shop/checkout/order-received/47446/?key=wc_order_nfqMNHyEaOJUs</t>
  </si>
  <si>
    <t>https://yca.org.ar/home/shop/checkout/order-pay/47446/?pay_for_order=true&amp;key=wc_order_nfqMNHyEaOJUs</t>
  </si>
  <si>
    <t>YCA MDP</t>
  </si>
  <si>
    <t>Priscilla Aluhe</t>
  </si>
  <si>
    <t>OSPE</t>
  </si>
  <si>
    <t>https://yca.org.ar/home/shop/checkout/order-received/46686/?key=wc_order_PxXuEvPFVia8C</t>
  </si>
  <si>
    <t>https://yca.org.ar/home/shop/checkout/order-pay/46686/?pay_for_order=true&amp;key=wc_order_PxXuEvPFVia8C</t>
  </si>
  <si>
    <t>Timoneles</t>
  </si>
  <si>
    <t>https://yca.org.ar/home/shop/checkout/order-received/46687/?key=wc_order_Q1uQ4DPECuCSg</t>
  </si>
  <si>
    <t>https://yca.org.ar/home/shop/checkout/order-pay/46687/?pay_for_order=true&amp;key=wc_order_Q1uQ4DPECuCSg</t>
  </si>
  <si>
    <t>SUB12</t>
  </si>
  <si>
    <t>ANDREA</t>
  </si>
  <si>
    <t>FRIEDLANDER</t>
  </si>
  <si>
    <t>Mariano Acha 2878</t>
  </si>
  <si>
    <t>andreafriedlander@hotmail.com</t>
  </si>
  <si>
    <t>https://yca.org.ar/home/shop/checkout/order-received/46697/?key=wc_order_lLAm1DoAhuZAd</t>
  </si>
  <si>
    <t>https://yca.org.ar/home/shop/checkout/order-pay/46697/?pay_for_order=true&amp;key=wc_order_lLAm1DoAhuZAd</t>
  </si>
  <si>
    <t>Seductor</t>
  </si>
  <si>
    <t>Tiziano</t>
  </si>
  <si>
    <t>Laise</t>
  </si>
  <si>
    <t>Augusto</t>
  </si>
  <si>
    <t>Rossi</t>
  </si>
  <si>
    <t>Hipolito Yrigoyen 850</t>
  </si>
  <si>
    <t>Piso 3</t>
  </si>
  <si>
    <t>escribaniarossi@escribaniarossi.com.ar</t>
  </si>
  <si>
    <t>https://yca.org.ar/home/shop/checkout/order-received/46738/?key=wc_order_hcXx8KP6hIpij</t>
  </si>
  <si>
    <t>https://yca.org.ar/home/shop/checkout/order-pay/46738/?pay_for_order=true&amp;key=wc_order_hcXx8KP6hIpij</t>
  </si>
  <si>
    <t>Shark</t>
  </si>
  <si>
    <t>Rossi Galizzi</t>
  </si>
  <si>
    <t>Caja Notarial Colegio de Escribanos de la ciudad de Buenos Aires</t>
  </si>
  <si>
    <t>Avellaneda</t>
  </si>
  <si>
    <t>https://yca.org.ar/home/shop/checkout/order-received/46780/?key=wc_order_Zx54bxsIX6nEU</t>
  </si>
  <si>
    <t>https://yca.org.ar/home/shop/checkout/order-pay/46780/?pay_for_order=true&amp;key=wc_order_Zx54bxsIX6nEU</t>
  </si>
  <si>
    <t>Kiky 2</t>
  </si>
  <si>
    <t>Miguel Ignacio</t>
  </si>
  <si>
    <t>Julio</t>
  </si>
  <si>
    <t>Vieytez</t>
  </si>
  <si>
    <t>Posadas 1301</t>
  </si>
  <si>
    <t>julio.vieytez@gmail.com</t>
  </si>
  <si>
    <t>116018-9038</t>
  </si>
  <si>
    <t>https://yca.org.ar/home/shop/checkout/order-received/46785/?key=wc_order_xyGFVlpr1rEbM</t>
  </si>
  <si>
    <t>https://yca.org.ar/home/shop/checkout/order-pay/46785/?pay_for_order=true&amp;key=wc_order_xyGFVlpr1rEbM</t>
  </si>
  <si>
    <t>vickydennin@gmail.com</t>
  </si>
  <si>
    <t>APSOT</t>
  </si>
  <si>
    <t>Patricio</t>
  </si>
  <si>
    <t>Pantin</t>
  </si>
  <si>
    <t>Carlos tejedor 66 piso 2</t>
  </si>
  <si>
    <t>Lanus</t>
  </si>
  <si>
    <t>Ppantin@perezizquierdo.com.ar</t>
  </si>
  <si>
    <t>11 3064 8081</t>
  </si>
  <si>
    <t>https://yca.org.ar/home/shop/checkout/order-pay/46802/?pay_for_order=true&amp;key=wc_order_TGVuLACyhfCxO</t>
  </si>
  <si>
    <t>AOA / YCA</t>
  </si>
  <si>
    <t>Lujan Agustina</t>
  </si>
  <si>
    <t>Colegio de Escribanos de la Provincia de Buenos Aires 5340/3</t>
  </si>
  <si>
    <t>Victor</t>
  </si>
  <si>
    <t>Saner</t>
  </si>
  <si>
    <t>Marta Lynch 551</t>
  </si>
  <si>
    <t>conniegrossi007@gmail.com</t>
  </si>
  <si>
    <t>https://yca.org.ar/home/shop/checkout/order-pay/46811/?pay_for_order=true&amp;key=wc_order_Xmx8zRqqJPfqk</t>
  </si>
  <si>
    <t>TERESA</t>
  </si>
  <si>
    <t>Elizalde</t>
  </si>
  <si>
    <t>Juramento</t>
  </si>
  <si>
    <t>telizalde@gmail.com</t>
  </si>
  <si>
    <t>https://yca.org.ar/home/shop/checkout/order-pay/46832/?pay_for_order=true&amp;key=wc_order_3jR5Oizvdtvjb</t>
  </si>
  <si>
    <t>Ana Camelia</t>
  </si>
  <si>
    <t>Biasi</t>
  </si>
  <si>
    <t>Erich</t>
  </si>
  <si>
    <t>Mones Ruiz</t>
  </si>
  <si>
    <t>avenida de los lagos 5845</t>
  </si>
  <si>
    <t>nordelta tigre</t>
  </si>
  <si>
    <t>mones1050@gmail.com</t>
  </si>
  <si>
    <t>https://yca.org.ar/home/shop/checkout/order-received/46842/?key=wc_order_PC2hLBtpHBrq3</t>
  </si>
  <si>
    <t>https://yca.org.ar/home/shop/checkout/order-pay/46842/?pay_for_order=true&amp;key=wc_order_PC2hLBtpHBrq3</t>
  </si>
  <si>
    <t>na</t>
  </si>
  <si>
    <t>Rafael</t>
  </si>
  <si>
    <t>Mones</t>
  </si>
  <si>
    <t>agustinagropp@gmail.com</t>
  </si>
  <si>
    <t>cristina</t>
  </si>
  <si>
    <t>dubra</t>
  </si>
  <si>
    <t>arenales 1882,</t>
  </si>
  <si>
    <t>cristinadubra@gmail.com</t>
  </si>
  <si>
    <t>https://yca.org.ar/home/shop/checkout/order-received/46846/?key=wc_order_7jqqNQ5XQrFCP</t>
  </si>
  <si>
    <t>https://yca.org.ar/home/shop/checkout/order-pay/46846/?pay_for_order=true&amp;key=wc_order_7jqqNQ5XQrFCP</t>
  </si>
  <si>
    <t>Tintin</t>
  </si>
  <si>
    <t>Panasci</t>
  </si>
  <si>
    <t>SMG</t>
  </si>
  <si>
    <t>9 11 5002-2001</t>
  </si>
  <si>
    <t>https://yca.org.ar/home/shop/checkout/order-received/46874/?key=wc_order_PbhokJZp6Jn7w</t>
  </si>
  <si>
    <t>https://yca.org.ar/home/shop/checkout/order-pay/46874/?pay_for_order=true&amp;key=wc_order_PbhokJZp6Jn7w</t>
  </si>
  <si>
    <t>Arcuri</t>
  </si>
  <si>
    <t>Don Bosco 2329</t>
  </si>
  <si>
    <t>francisco_arcuri@mac.com</t>
  </si>
  <si>
    <t>https://yca.org.ar/home/shop/checkout/order-received/46895/?key=wc_order_bMVuooBnEDtEX</t>
  </si>
  <si>
    <t>https://yca.org.ar/home/shop/checkout/order-pay/46895/?pay_for_order=true&amp;key=wc_order_bMVuooBnEDtEX</t>
  </si>
  <si>
    <t>Chiara</t>
  </si>
  <si>
    <t>https://yca.org.ar/home/shop/checkout/order-received/46896/?key=wc_order_BRKYQQGoBl5zD</t>
  </si>
  <si>
    <t>https://yca.org.ar/home/shop/checkout/order-pay/46896/?pay_for_order=true&amp;key=wc_order_BRKYQQGoBl5zD</t>
  </si>
  <si>
    <t>https://yca.org.ar/home/shop/checkout/order-received/46899/?key=wc_order_RtUXf3kFegJUC</t>
  </si>
  <si>
    <t>https://yca.org.ar/home/shop/checkout/order-pay/46899/?pay_for_order=true&amp;key=wc_order_RtUXf3kFegJUC</t>
  </si>
  <si>
    <t>On Fire</t>
  </si>
  <si>
    <t>Andres Benjamin</t>
  </si>
  <si>
    <t>De Bernardis</t>
  </si>
  <si>
    <t>Calle Gral Bernardo O Higgins 1730 3 Lp Dpto</t>
  </si>
  <si>
    <t>Dpto</t>
  </si>
  <si>
    <t>Ciudad Autonoma Buenos Aires</t>
  </si>
  <si>
    <t>C1426BHJ</t>
  </si>
  <si>
    <t>pmdebernardis@gmail.com</t>
  </si>
  <si>
    <t>https://yca.org.ar/home/shop/checkout/order-received/47005/?key=wc_order_vOm0HTIgzijc6</t>
  </si>
  <si>
    <t>https://yca.org.ar/home/shop/checkout/order-pay/47005/?pay_for_order=true&amp;key=wc_order_vOm0HTIgzijc6</t>
  </si>
  <si>
    <t>Gael</t>
  </si>
  <si>
    <t>Omint</t>
  </si>
  <si>
    <t>Ana ines</t>
  </si>
  <si>
    <t>GoÃ±i</t>
  </si>
  <si>
    <t>primera junta 2591</t>
  </si>
  <si>
    <t>Punta chica</t>
  </si>
  <si>
    <t>anaigoni@hotmail.com</t>
  </si>
  <si>
    <t>https://yca.org.ar/home/shop/checkout/order-received/47026/?key=wc_order_E2tbeVTD0i09w</t>
  </si>
  <si>
    <t>https://yca.org.ar/home/shop/checkout/order-pay/47026/?pay_for_order=true&amp;key=wc_order_E2tbeVTD0i09w</t>
  </si>
  <si>
    <t>Cocozza</t>
  </si>
  <si>
    <t>Schere</t>
  </si>
  <si>
    <t>Villanueva 1353</t>
  </si>
  <si>
    <t>Piso 7a</t>
  </si>
  <si>
    <t>C1426</t>
  </si>
  <si>
    <t>luciano.schere@gmail.com</t>
  </si>
  <si>
    <t>https://yca.org.ar/home/shop/checkout/order-received/47058/?key=wc_order_d9PrK7m9Rg14F</t>
  </si>
  <si>
    <t>https://yca.org.ar/home/shop/checkout/order-pay/47058/?pay_for_order=true&amp;key=wc_order_d9PrK7m9Rg14F</t>
  </si>
  <si>
    <t>Schere Pena</t>
  </si>
  <si>
    <t>Cottini</t>
  </si>
  <si>
    <t>Puente del Inca 8163</t>
  </si>
  <si>
    <t>Alto Los Cardales</t>
  </si>
  <si>
    <t>B2804</t>
  </si>
  <si>
    <t>ana@anacottini.ar</t>
  </si>
  <si>
    <t>https://yca.org.ar/home/shop/checkout/order-received/47068/?key=wc_order_LVkpUuE2tB4UV</t>
  </si>
  <si>
    <t>https://yca.org.ar/home/shop/checkout/order-pay/47068/?pay_for_order=true&amp;key=wc_order_LVkpUuE2tB4UV</t>
  </si>
  <si>
    <t>Flashito</t>
  </si>
  <si>
    <t>Giuliana</t>
  </si>
  <si>
    <t>Careaga Cottini</t>
  </si>
  <si>
    <t>anacottini@gmail.com</t>
  </si>
  <si>
    <t>Calabrese</t>
  </si>
  <si>
    <t>Av de los lagos 4855</t>
  </si>
  <si>
    <t>Nordelta</t>
  </si>
  <si>
    <t>Marcela.domato@gmail.com</t>
  </si>
  <si>
    <t>https://yca.org.ar/home/shop/checkout/order-received/47126/?key=wc_order_4SVkONxJoyrvH</t>
  </si>
  <si>
    <t>https://yca.org.ar/home/shop/checkout/order-pay/47126/?pay_for_order=true&amp;key=wc_order_4SVkONxJoyrvH</t>
  </si>
  <si>
    <t>Eh Amigo!</t>
  </si>
  <si>
    <t>https://yca.org.ar/home/shop/checkout/order-received/47148/?key=wc_order_hIjHtKlGlRXzk</t>
  </si>
  <si>
    <t>https://yca.org.ar/home/shop/checkout/order-pay/47148/?pay_for_order=true&amp;key=wc_order_hIjHtKlGlRXzk</t>
  </si>
  <si>
    <t>Enrique</t>
  </si>
  <si>
    <t>Pittaluga</t>
  </si>
  <si>
    <t>REPUBLICA ARABE SIRIA 2737</t>
  </si>
  <si>
    <t>Piso 1</t>
  </si>
  <si>
    <t>CAPITAL FEDERAL</t>
  </si>
  <si>
    <t>ejpittaluga@gmail.com</t>
  </si>
  <si>
    <t>https://yca.org.ar/home/shop/checkout/order-received/47202/?key=wc_order_WbqrnchzXNYrC</t>
  </si>
  <si>
    <t>https://yca.org.ar/home/shop/checkout/order-pay/47202/?pay_for_order=true&amp;key=wc_order_WbqrnchzXNYrC</t>
  </si>
  <si>
    <t>La Brava</t>
  </si>
  <si>
    <t>Martina</t>
  </si>
  <si>
    <t>XXL</t>
  </si>
  <si>
    <t>Romina</t>
  </si>
  <si>
    <t>Pavlicic</t>
  </si>
  <si>
    <t>Cordoba 2750</t>
  </si>
  <si>
    <t>rominappavlicic@hotmail.com</t>
  </si>
  <si>
    <t>https://yca.org.ar/home/shop/checkout/order-received/47373/?key=wc_order_QHOv1A2ymJaIh</t>
  </si>
  <si>
    <t>https://yca.org.ar/home/shop/checkout/order-pay/47373/?pay_for_order=true&amp;key=wc_order_QHOv1A2ymJaIh</t>
  </si>
  <si>
    <t>González</t>
  </si>
  <si>
    <t>rominappavlicc@hotmail.com</t>
  </si>
  <si>
    <t>kevin</t>
  </si>
  <si>
    <t>mendez</t>
  </si>
  <si>
    <t>armonia 172</t>
  </si>
  <si>
    <t>pb</t>
  </si>
  <si>
    <t>posadas</t>
  </si>
  <si>
    <t>N</t>
  </si>
  <si>
    <t>velamisiones@hotmail.com</t>
  </si>
  <si>
    <t>https://yca.org.ar/home/shop/checkout/order-received/47050/?key=wc_order_Y5U9NbLlgndD6</t>
  </si>
  <si>
    <t>https://yca.org.ar/home/shop/checkout/order-pay/47050/?pay_for_order=true&amp;key=wc_order_Y5U9NbLlgndD6</t>
  </si>
  <si>
    <t>no</t>
  </si>
  <si>
    <t>OptiNic</t>
  </si>
  <si>
    <t>Kevin</t>
  </si>
  <si>
    <t>https://yca.org.ar/home/shop/checkout/order-received/47307/?key=wc_order_Qbkw1nr1R9N1K</t>
  </si>
  <si>
    <t>https://yca.org.ar/home/shop/checkout/order-pay/47307/?pay_for_order=true&amp;key=wc_order_Qbkw1nr1R9N1K</t>
  </si>
  <si>
    <t>Liván</t>
  </si>
  <si>
    <t>https://yca.org.ar/home/shop/checkout/order-received/47309/?key=wc_order_bgMivlWWNEcJy</t>
  </si>
  <si>
    <t>https://yca.org.ar/home/shop/checkout/order-pay/47309/?pay_for_order=true&amp;key=wc_order_bgMivlWWNEcJy</t>
  </si>
  <si>
    <t>JOAQUÃ_x008d_N MARTÃ_x008d_NEZ</t>
  </si>
  <si>
    <t>Martínez</t>
  </si>
  <si>
    <t>cambia pais</t>
  </si>
  <si>
    <t>1@1.com</t>
  </si>
  <si>
    <t>https://yca.org.ar/home/shop/checkout/order-received/47438/?key=wc_order_SUKJIj3708PXN</t>
  </si>
  <si>
    <t>https://yca.org.ar/home/shop/checkout/order-pay/47438/?pay_for_order=true&amp;key=wc_order_SUKJIj3708PXN</t>
  </si>
  <si>
    <t>Miguel</t>
  </si>
  <si>
    <t>Puño Barraza</t>
  </si>
  <si>
    <t>Fonasa</t>
  </si>
  <si>
    <t>Baeza</t>
  </si>
  <si>
    <t>Kennedy</t>
  </si>
  <si>
    <t>mbaeza@procasa.cl</t>
  </si>
  <si>
    <t>https://yca.org.ar/home/shop/checkout/order-received/46656/?key=wc_order_YK3SprHiA2dQ4</t>
  </si>
  <si>
    <t>https://yca.org.ar/home/shop/checkout/order-pay/46656/?pay_for_order=true&amp;key=wc_order_YK3SprHiA2dQ4</t>
  </si>
  <si>
    <t>Pegaso</t>
  </si>
  <si>
    <t>Domingo</t>
  </si>
  <si>
    <t>Banmedica</t>
  </si>
  <si>
    <t>Parrino</t>
  </si>
  <si>
    <t>Av. Cocomarola 6550</t>
  </si>
  <si>
    <t>Posadas</t>
  </si>
  <si>
    <t>diegoparrino@hidrasrl.com.ar</t>
  </si>
  <si>
    <t>https://yca.org.ar/home/shop/checkout/order-received/47093/?key=wc_order_al7Lk5yVv6ZpS</t>
  </si>
  <si>
    <t>https://yca.org.ar/home/shop/checkout/order-pay/47093/?pay_for_order=true&amp;key=wc_order_al7Lk5yVv6ZpS</t>
  </si>
  <si>
    <t>Calypso</t>
  </si>
  <si>
    <t>Optinic</t>
  </si>
  <si>
    <t>poder Judicial de la nacion</t>
  </si>
  <si>
    <t>Marcelo Javier</t>
  </si>
  <si>
    <t>Jendryka</t>
  </si>
  <si>
    <t>Gobernador Barreyro 3733</t>
  </si>
  <si>
    <t>olexen6354@hotmail.com</t>
  </si>
  <si>
    <t>https://yca.org.ar/home/shop/checkout/order-received/47140/?key=wc_order_jvse83NRRDzxw</t>
  </si>
  <si>
    <t>https://yca.org.ar/home/shop/checkout/order-pay/47140/?pay_for_order=true&amp;key=wc_order_jvse83NRRDzxw</t>
  </si>
  <si>
    <t>OPTINIC</t>
  </si>
  <si>
    <t>IPS</t>
  </si>
  <si>
    <t>Marcela</t>
  </si>
  <si>
    <t>Cichowolski</t>
  </si>
  <si>
    <t>Manuela Pedraza 2276</t>
  </si>
  <si>
    <t>6 D</t>
  </si>
  <si>
    <t>chelcich@gmail.com</t>
  </si>
  <si>
    <t>https://yca.org.ar/home/shop/checkout/order-received/47359/?key=wc_order_vXIbiZeR7cQlE</t>
  </si>
  <si>
    <t>https://yca.org.ar/home/shop/checkout/order-pay/47359/?pay_for_order=true&amp;key=wc_order_vXIbiZeR7cQlE</t>
  </si>
  <si>
    <t>Silvio</t>
  </si>
  <si>
    <t>Folguera</t>
  </si>
  <si>
    <t>SMG 800006 0595969 04 0029</t>
  </si>
  <si>
    <t>Constanza</t>
  </si>
  <si>
    <t>Simone</t>
  </si>
  <si>
    <t>Conesan 1971</t>
  </si>
  <si>
    <t>3A</t>
  </si>
  <si>
    <t>constanza.simone@gmail.com</t>
  </si>
  <si>
    <t>https://yca.org.ar/home/shop/checkout/order-received/46569/?key=wc_order_gPlR9wejF8TLf</t>
  </si>
  <si>
    <t>https://yca.org.ar/home/shop/checkout/order-pay/46569/?pay_for_order=true&amp;key=wc_order_gPlR9wejF8TLf</t>
  </si>
  <si>
    <t>Bizzozero Simone</t>
  </si>
  <si>
    <t>Calderon</t>
  </si>
  <si>
    <t>Jacques Cazotte 5560</t>
  </si>
  <si>
    <t>rosariocalderon@gmail.com</t>
  </si>
  <si>
    <t>https://yca.org.ar/home/shop/checkout/order-received/46570/?key=wc_order_aGzVslgSp39Bk</t>
  </si>
  <si>
    <t>https://yca.org.ar/home/shop/checkout/order-pay/46570/?pay_for_order=true&amp;key=wc_order_aGzVslgSp39Bk</t>
  </si>
  <si>
    <t>Pola</t>
  </si>
  <si>
    <t>Elton</t>
  </si>
  <si>
    <t>Fuhrmann</t>
  </si>
  <si>
    <t>Saavedra 538</t>
  </si>
  <si>
    <t>Ramos Mejia</t>
  </si>
  <si>
    <t>alejandro.fuhrmann@gmail.com</t>
  </si>
  <si>
    <t>https://yca.org.ar/home/shop/checkout/order-received/46605/?key=wc_order_yNFtvST2aqHw0</t>
  </si>
  <si>
    <t>https://yca.org.ar/home/shop/checkout/order-pay/46605/?pay_for_order=true&amp;key=wc_order_yNFtvST2aqHw0</t>
  </si>
  <si>
    <t>juan diego</t>
  </si>
  <si>
    <t>figueroa</t>
  </si>
  <si>
    <t>Laprida</t>
  </si>
  <si>
    <t>Mar Del Plata</t>
  </si>
  <si>
    <t>jdfigueroa@agroelcandil.com.ar</t>
  </si>
  <si>
    <t>https://yca.org.ar/home/shop/checkout/order-received/46651/?key=wc_order_su0OX12JaAqJp</t>
  </si>
  <si>
    <t>https://yca.org.ar/home/shop/checkout/order-pay/46651/?pay_for_order=true&amp;key=wc_order_su0OX12JaAqJp</t>
  </si>
  <si>
    <t>el barra</t>
  </si>
  <si>
    <t>AOA / CNMP</t>
  </si>
  <si>
    <t>Juan Bautista</t>
  </si>
  <si>
    <t>Figueroa</t>
  </si>
  <si>
    <t>juandiegofigueroa78@gmail.com</t>
  </si>
  <si>
    <t>https://yca.org.ar/home/shop/checkout/order-received/46652/?key=wc_order_AY6iRwOgXR4sF</t>
  </si>
  <si>
    <t>https://yca.org.ar/home/shop/checkout/order-pay/46652/?pay_for_order=true&amp;key=wc_order_AY6iRwOgXR4sF</t>
  </si>
  <si>
    <t>Gherghi</t>
  </si>
  <si>
    <t>Monteagudo 1205</t>
  </si>
  <si>
    <t>MartÃ­nez</t>
  </si>
  <si>
    <t>jagherghi@gmail.com</t>
  </si>
  <si>
    <t>https://yca.org.ar/home/shop/checkout/order-received/46674/?key=wc_order_MMZD7w10K1J6b</t>
  </si>
  <si>
    <t>https://yca.org.ar/home/shop/checkout/order-pay/46674/?pay_for_order=true&amp;key=wc_order_MMZD7w10K1J6b</t>
  </si>
  <si>
    <t>AOA / YCO</t>
  </si>
  <si>
    <t>Lara</t>
  </si>
  <si>
    <t>Hospital AlemÃ¡n</t>
  </si>
  <si>
    <t>cambia Club</t>
  </si>
  <si>
    <t>Antonio</t>
  </si>
  <si>
    <t>Remy</t>
  </si>
  <si>
    <t>Avenida Central 960</t>
  </si>
  <si>
    <t>Lima</t>
  </si>
  <si>
    <t>LIM</t>
  </si>
  <si>
    <t>PE</t>
  </si>
  <si>
    <t>antonio_remy@yahoo.com</t>
  </si>
  <si>
    <t>https://yca.org.ar/home/shop/checkout/order-received/46689/?key=wc_order_IlYveaH9xTOpi</t>
  </si>
  <si>
    <t>https://yca.org.ar/home/shop/checkout/order-pay/46689/?pay_for_order=true&amp;key=wc_order_IlYveaH9xTOpi</t>
  </si>
  <si>
    <t>PER</t>
  </si>
  <si>
    <t>YCA / Gold Winds</t>
  </si>
  <si>
    <t>EPS PACIFICO</t>
  </si>
  <si>
    <t>Jenifer</t>
  </si>
  <si>
    <t>Cadarso</t>
  </si>
  <si>
    <t>452 Lindberg Cir</t>
  </si>
  <si>
    <t>Petaluma</t>
  </si>
  <si>
    <t>CA</t>
  </si>
  <si>
    <t>US</t>
  </si>
  <si>
    <t>jencadarso@yahoo.com</t>
  </si>
  <si>
    <t>https://yca.org.ar/home/shop/checkout/order-received/46690/?key=wc_order_hZpYR3Q7olJiv</t>
  </si>
  <si>
    <t>https://yca.org.ar/home/shop/checkout/order-pay/46690/?pay_for_order=true&amp;key=wc_order_hZpYR3Q7olJiv</t>
  </si>
  <si>
    <t>CRL / Gold Winds</t>
  </si>
  <si>
    <t>RIMAC</t>
  </si>
  <si>
    <t>Graciela</t>
  </si>
  <si>
    <t>Zanchetta</t>
  </si>
  <si>
    <t>Maestro Massa</t>
  </si>
  <si>
    <t>gachy.zanchetta@gmail.com</t>
  </si>
  <si>
    <t>https://yca.org.ar/home/shop/checkout/order-received/46699/?key=wc_order_6ybWkq0Qv3Oek</t>
  </si>
  <si>
    <t>https://yca.org.ar/home/shop/checkout/order-pay/46699/?pay_for_order=true&amp;key=wc_order_6ybWkq0Qv3Oek</t>
  </si>
  <si>
    <t>Fran</t>
  </si>
  <si>
    <t>YCR</t>
  </si>
  <si>
    <t>Palmese</t>
  </si>
  <si>
    <t>gachygea@gmail.com</t>
  </si>
  <si>
    <t>Iapos</t>
  </si>
  <si>
    <t>NUÃ‘EZ, 2172</t>
  </si>
  <si>
    <t>miguelcicho@gmail.com</t>
  </si>
  <si>
    <t>https://yca.org.ar/home/shop/checkout/order-received/46721/?key=wc_order_ms8BVaBdEqIpZ</t>
  </si>
  <si>
    <t>https://yca.org.ar/home/shop/checkout/order-pay/46721/?pay_for_order=true&amp;key=wc_order_ms8BVaBdEqIpZ</t>
  </si>
  <si>
    <t>miguelcicho@hotmail.com</t>
  </si>
  <si>
    <t>Dosuba</t>
  </si>
  <si>
    <t>EUGENIA</t>
  </si>
  <si>
    <t>CERNIC</t>
  </si>
  <si>
    <t>BARILOCHE 1315</t>
  </si>
  <si>
    <t>BECCAR</t>
  </si>
  <si>
    <t>pikicernic@gmail.com</t>
  </si>
  <si>
    <t>https://yca.org.ar/home/shop/checkout/order-received/46730/?key=wc_order_zv5xgEzfU71MU</t>
  </si>
  <si>
    <t>https://yca.org.ar/home/shop/checkout/order-pay/46730/?pay_for_order=true&amp;key=wc_order_zv5xgEzfU71MU</t>
  </si>
  <si>
    <t>Amelia Matea</t>
  </si>
  <si>
    <t>Belardi De León</t>
  </si>
  <si>
    <t>MarÃ­a</t>
  </si>
  <si>
    <t>Centurion</t>
  </si>
  <si>
    <t>Independencia</t>
  </si>
  <si>
    <t>marucenturion1989@gmail.com</t>
  </si>
  <si>
    <t>https://yca.org.ar/wc-api/WC_WooMercadoPago_Custom_Gateway/?data.id=177583039855&amp;source_news=webhook&amp;type=payment</t>
  </si>
  <si>
    <t>https://yca.org.ar/home/shop/checkout/order-pay/46752/?pay_for_order=true&amp;key=wc_order_yGQJ5AGhN8de5</t>
  </si>
  <si>
    <t>Blas</t>
  </si>
  <si>
    <t>Miguel Angel</t>
  </si>
  <si>
    <t>CUESTAS</t>
  </si>
  <si>
    <t>Olleros 31</t>
  </si>
  <si>
    <t>BIS B</t>
  </si>
  <si>
    <t>San NicolÃ¡s</t>
  </si>
  <si>
    <t>m.a.cuestas@live.com.ar</t>
  </si>
  <si>
    <t>https://yca.org.ar/home/shop/checkout/order-received/46753/?key=wc_order_vTjyzoYkkvj5K</t>
  </si>
  <si>
    <t>https://yca.org.ar/home/shop/checkout/order-pay/46753/?pay_for_order=true&amp;key=wc_order_vTjyzoYkkvj5K</t>
  </si>
  <si>
    <t>ASTOR</t>
  </si>
  <si>
    <t>CRSN</t>
  </si>
  <si>
    <t>Astor</t>
  </si>
  <si>
    <t>Cuestas</t>
  </si>
  <si>
    <t>Solange</t>
  </si>
  <si>
    <t>Cassara</t>
  </si>
  <si>
    <t>Madero 749</t>
  </si>
  <si>
    <t>Moron</t>
  </si>
  <si>
    <t>scassara@lpc.com.ar</t>
  </si>
  <si>
    <t>https://yca.org.ar/wc-api/WC_WooMercadoPago_Custom_Gateway/?data.id=178821282250&amp;source_news=webhook&amp;type=payment</t>
  </si>
  <si>
    <t>https://yca.org.ar/home/shop/checkout/order-pay/46763/?pay_for_order=true&amp;key=wc_order_2p5Ox2t65GvAc</t>
  </si>
  <si>
    <t>Genaro</t>
  </si>
  <si>
    <t>Larghi</t>
  </si>
  <si>
    <t>Luis pasteur</t>
  </si>
  <si>
    <t>Brunetta</t>
  </si>
  <si>
    <t>Washington 349</t>
  </si>
  <si>
    <t>andres_brunetta@yahoo.com</t>
  </si>
  <si>
    <t>https://yca.org.ar/home/shop/checkout/order-received/46766/?key=wc_order_IkYQorE0b0wpb</t>
  </si>
  <si>
    <t>https://yca.org.ar/home/shop/checkout/order-pay/46766/?pay_for_order=true&amp;key=wc_order_IkYQorE0b0wpb</t>
  </si>
  <si>
    <t>Osde 410</t>
  </si>
  <si>
    <t>HELENA</t>
  </si>
  <si>
    <t>KATZ</t>
  </si>
  <si>
    <t>1816 JUAN AGUSTIN MAZA</t>
  </si>
  <si>
    <t>ROSARIO</t>
  </si>
  <si>
    <t>Z</t>
  </si>
  <si>
    <t>soniamariani@henrymorgan.com.ar</t>
  </si>
  <si>
    <t>https://yca.org.ar/home/shop/checkout/order-received/46771/?key=wc_order_U7sWC4cCbSQqK</t>
  </si>
  <si>
    <t>https://yca.org.ar/home/shop/checkout/order-pay/46771/?pay_for_order=true&amp;key=wc_order_U7sWC4cCbSQqK</t>
  </si>
  <si>
    <t>Helena</t>
  </si>
  <si>
    <t>Katz</t>
  </si>
  <si>
    <t>SONIAINESMARIANI@gmail.com</t>
  </si>
  <si>
    <t>OSUNR</t>
  </si>
  <si>
    <t>Muzzio Romano</t>
  </si>
  <si>
    <t>Juan B Justo 933</t>
  </si>
  <si>
    <t>BÃ©ccar</t>
  </si>
  <si>
    <t>gustavo.muzzio@gmail.com</t>
  </si>
  <si>
    <t>https://yca.org.ar/home/shop/checkout/order-received/46773/?key=wc_order_GngJZ0Jxrg2kd</t>
  </si>
  <si>
    <t>https://yca.org.ar/home/shop/checkout/order-pay/46773/?pay_for_order=true&amp;key=wc_order_GngJZ0Jxrg2kd</t>
  </si>
  <si>
    <t>Muzzio</t>
  </si>
  <si>
    <t>TVSALUD</t>
  </si>
  <si>
    <t>Don Orione 1213</t>
  </si>
  <si>
    <t>Pago en el Club (#46778)</t>
  </si>
  <si>
    <t>https://yca.org.ar/home/shop/checkout/order-received/46781/?key=wc_order_SdhS4XRz95IxP</t>
  </si>
  <si>
    <t>https://yca.org.ar/home/shop/checkout/order-pay/46781/?pay_for_order=true&amp;key=wc_order_SdhS4XRz95IxP</t>
  </si>
  <si>
    <t>Simón</t>
  </si>
  <si>
    <t>UPCN</t>
  </si>
  <si>
    <t>DamiÃ¡n</t>
  </si>
  <si>
    <t>Jaimovich</t>
  </si>
  <si>
    <t>Av. DEL LIBERTADOR 5164</t>
  </si>
  <si>
    <t>damianjaimovich@gmail.com</t>
  </si>
  <si>
    <t>https://yca.org.ar/home/shop/checkout/order-received/46783/?key=wc_order_5OsvTshNPfI3U</t>
  </si>
  <si>
    <t>https://yca.org.ar/home/shop/checkout/order-pay/46783/?pay_for_order=true&amp;key=wc_order_5OsvTshNPfI3U</t>
  </si>
  <si>
    <t>Thaya</t>
  </si>
  <si>
    <t>Jaimovich Landeo</t>
  </si>
  <si>
    <t>Juan Pablo</t>
  </si>
  <si>
    <t>Lugones 4550</t>
  </si>
  <si>
    <t>molinaricv@gmail.com</t>
  </si>
  <si>
    <t>https://yca.org.ar/home/shop/checkout/order-received/46786/?key=wc_order_HaZuALr2fCbjh</t>
  </si>
  <si>
    <t>https://yca.org.ar/home/shop/checkout/order-pay/46786/?pay_for_order=true&amp;key=wc_order_HaZuALr2fCbjh</t>
  </si>
  <si>
    <t>AOA / CVB</t>
  </si>
  <si>
    <t>Luzuriaga</t>
  </si>
  <si>
    <t>Roseti 261</t>
  </si>
  <si>
    <t>matiasluzuriaga@gmail.com</t>
  </si>
  <si>
    <t>https://yca.org.ar/home/shop/checkout/order-received/46790/?key=wc_order_fUZKHkUWMn1Md</t>
  </si>
  <si>
    <t>https://yca.org.ar/home/shop/checkout/order-pay/46790/?pay_for_order=true&amp;key=wc_order_fUZKHkUWMn1Md</t>
  </si>
  <si>
    <t>POLAR</t>
  </si>
  <si>
    <t>Lorenzo Agustín</t>
  </si>
  <si>
    <t>eduardo</t>
  </si>
  <si>
    <t>timpone</t>
  </si>
  <si>
    <t>60 nro 665</t>
  </si>
  <si>
    <t>eduardotone114@gmail.com</t>
  </si>
  <si>
    <t>https://yca.org.ar/home/shop/checkout/order-received/46798/?key=wc_order_mpxJpnBt8xGqA</t>
  </si>
  <si>
    <t>https://yca.org.ar/home/shop/checkout/order-pay/46798/?pay_for_order=true&amp;key=wc_order_mpxJpnBt8xGqA</t>
  </si>
  <si>
    <t>Emilia Tiara</t>
  </si>
  <si>
    <t>Timpone</t>
  </si>
  <si>
    <t>ioma</t>
  </si>
  <si>
    <t>Justa Lima 1787</t>
  </si>
  <si>
    <t>clg1787@gmail.com</t>
  </si>
  <si>
    <t>https://yca.org.ar/home/shop/checkout/order-received/46807/?key=wc_order_RAEWdhqD8mWM2</t>
  </si>
  <si>
    <t>https://yca.org.ar/home/shop/checkout/order-pay/46807/?pay_for_order=true&amp;key=wc_order_RAEWdhqD8mWM2</t>
  </si>
  <si>
    <t>Iacovone</t>
  </si>
  <si>
    <t>https://yca.org.ar/home/shop/checkout/order-received/46820/?key=wc_order_nvTeT4w9KPYuS</t>
  </si>
  <si>
    <t>https://yca.org.ar/home/shop/checkout/order-pay/46820/?pay_for_order=true&amp;key=wc_order_nvTeT4w9KPYuS</t>
  </si>
  <si>
    <t>Basta!!!</t>
  </si>
  <si>
    <t>Maria</t>
  </si>
  <si>
    <t>Maine</t>
  </si>
  <si>
    <t>Villa mayor 1201</t>
  </si>
  <si>
    <t>Manzanares</t>
  </si>
  <si>
    <t>carcassoncarolina@gmail.com</t>
  </si>
  <si>
    <t>https://yca.org.ar/home/shop/checkout/order-received/46821/?key=wc_order_P7AqgQKng0BhB</t>
  </si>
  <si>
    <t>https://yca.org.ar/home/shop/checkout/order-pay/46821/?pay_for_order=true&amp;key=wc_order_P7AqgQKng0BhB</t>
  </si>
  <si>
    <t>Black beauty</t>
  </si>
  <si>
    <t>María</t>
  </si>
  <si>
    <t>mariamaine4187@gmail.com</t>
  </si>
  <si>
    <t>https://yca.org.ar/home/shop/checkout/order-received/46822/?key=wc_order_LiY3TdnSOiElN</t>
  </si>
  <si>
    <t>https://yca.org.ar/home/shop/checkout/order-pay/46822/?pay_for_order=true&amp;key=wc_order_LiY3TdnSOiElN</t>
  </si>
  <si>
    <t>Marcos</t>
  </si>
  <si>
    <t>Pasquale</t>
  </si>
  <si>
    <t>alberti 683</t>
  </si>
  <si>
    <t>PB ""A""</t>
  </si>
  <si>
    <t>zarate</t>
  </si>
  <si>
    <t>gustavo.pasquale@yahoo.com.ar</t>
  </si>
  <si>
    <t>https://yca.org.ar/wc-api/WC_WooMercadoPago_Custom_Gateway/?data.id=178489172049&amp;source_news=webhook&amp;type=payment</t>
  </si>
  <si>
    <t>https://yca.org.ar/home/shop/checkout/order-pay/46824/?pay_for_order=true&amp;key=wc_order_AW9usDrIig5lR</t>
  </si>
  <si>
    <t>Es Mio</t>
  </si>
  <si>
    <t>Luca</t>
  </si>
  <si>
    <t>Pasquale Coronel</t>
  </si>
  <si>
    <t>MadueÃ±o</t>
  </si>
  <si>
    <t>Calle 16 N681</t>
  </si>
  <si>
    <t>PB1</t>
  </si>
  <si>
    <t>lauramadueno@gmail.com</t>
  </si>
  <si>
    <t>https://yca.org.ar/home/shop/checkout/order-received/46827/?key=wc_order_HE5OqS4jBmsHx</t>
  </si>
  <si>
    <t>https://yca.org.ar/home/shop/checkout/order-pay/46827/?pay_for_order=true&amp;key=wc_order_HE5OqS4jBmsHx</t>
  </si>
  <si>
    <t>Isabel</t>
  </si>
  <si>
    <t>Travería</t>
  </si>
  <si>
    <t>isabeltraveria@gmail.com</t>
  </si>
  <si>
    <t>Guillermo Ignacio</t>
  </si>
  <si>
    <t>Corominas</t>
  </si>
  <si>
    <t>RUTA PROV 6 KM 207.3</t>
  </si>
  <si>
    <t>vanesamledo@gmail.com</t>
  </si>
  <si>
    <t>https://yca.org.ar/home/shop/checkout/order-received/46828/?key=wc_order_gmWX2b8OmN5tM</t>
  </si>
  <si>
    <t>https://yca.org.ar/home/shop/checkout/order-pay/46828/?pay_for_order=true&amp;key=wc_order_gmWX2b8OmN5tM</t>
  </si>
  <si>
    <t>AOA / CNZ</t>
  </si>
  <si>
    <t>Máximo</t>
  </si>
  <si>
    <t>SWISS MEDICAL</t>
  </si>
  <si>
    <t>Lenzetti</t>
  </si>
  <si>
    <t>Calle 58 1101</t>
  </si>
  <si>
    <t>4B</t>
  </si>
  <si>
    <t>martin.lenzetti@gmail.com</t>
  </si>
  <si>
    <t>https://yca.org.ar/home/shop/checkout/order-received/46833/?key=wc_order_2Mu7r48ZWSyLg</t>
  </si>
  <si>
    <t>https://yca.org.ar/home/shop/checkout/order-pay/46833/?pay_for_order=true&amp;key=wc_order_2Mu7r48ZWSyLg</t>
  </si>
  <si>
    <t>Emma</t>
  </si>
  <si>
    <t>Camacho</t>
  </si>
  <si>
    <t>Brasil</t>
  </si>
  <si>
    <t>JunÃ­n</t>
  </si>
  <si>
    <t>ana.inesc@hotmail.com</t>
  </si>
  <si>
    <t>https://yca.org.ar/home/shop/checkout/order-received/46834/?key=wc_order_mG3z2AoRlrWLc</t>
  </si>
  <si>
    <t>https://yca.org.ar/home/shop/checkout/order-pay/46834/?pay_for_order=true&amp;key=wc_order_mG3z2AoRlrWLc</t>
  </si>
  <si>
    <t>AOA / CNSP</t>
  </si>
  <si>
    <t>Gino</t>
  </si>
  <si>
    <t>Pichetti</t>
  </si>
  <si>
    <t>CINTIA CAROLINA</t>
  </si>
  <si>
    <t>MORENO</t>
  </si>
  <si>
    <t>CORVALAN 952</t>
  </si>
  <si>
    <t>MARTINEZ</t>
  </si>
  <si>
    <t>CARO_MORE@YAHOO.COM</t>
  </si>
  <si>
    <t>https://yca.org.ar/home/shop/checkout/order-received/46835/?key=wc_order_PeZ9nqlhsKqjP</t>
  </si>
  <si>
    <t>https://yca.org.ar/home/shop/checkout/order-pay/46835/?pay_for_order=true&amp;key=wc_order_PeZ9nqlhsKqjP</t>
  </si>
  <si>
    <t>Milo</t>
  </si>
  <si>
    <t>Messina</t>
  </si>
  <si>
    <t>SIN</t>
  </si>
  <si>
    <t>PABLO RAUL</t>
  </si>
  <si>
    <t>BOZ</t>
  </si>
  <si>
    <t>mendoza 2277 p5</t>
  </si>
  <si>
    <t>rosario</t>
  </si>
  <si>
    <t>pablorboz@gmail.com</t>
  </si>
  <si>
    <t>https://yca.org.ar/home/shop/checkout/order-received/46836/?key=wc_order_AUD9TQzHF0OAE</t>
  </si>
  <si>
    <t>https://yca.org.ar/home/shop/checkout/order-pay/46836/?pay_for_order=true&amp;key=wc_order_AUD9TQzHF0OAE</t>
  </si>
  <si>
    <t>TORINO ROJO</t>
  </si>
  <si>
    <t>Boz</t>
  </si>
  <si>
    <t>Sabino</t>
  </si>
  <si>
    <t>Deleo</t>
  </si>
  <si>
    <t>Regatas 13</t>
  </si>
  <si>
    <t>deleosabino@gmail.com</t>
  </si>
  <si>
    <t>https://yca.org.ar/wc-api/WC_WooMercadoPago_Custom_Gateway/?data.id=178563520353&amp;source_news=webhook&amp;type=payment</t>
  </si>
  <si>
    <t>https://yca.org.ar/home/shop/checkout/order-pay/46841/?pay_for_order=true&amp;key=wc_order_FZAgoqA8ekvhk</t>
  </si>
  <si>
    <t>Georgina</t>
  </si>
  <si>
    <t>Avalis</t>
  </si>
  <si>
    <t>MuÃ±iz 1084</t>
  </si>
  <si>
    <t>georgina.avalis@osde.com.ar</t>
  </si>
  <si>
    <t>https://yca.org.ar/wc-api/WC_WooMercadoPago_Custom_Gateway/?data.id=179644396728&amp;source_news=webhook&amp;type=payment</t>
  </si>
  <si>
    <t>https://yca.org.ar/home/shop/checkout/order-pay/46857/?pay_for_order=true&amp;key=wc_order_kAhTwfrsh6zTl</t>
  </si>
  <si>
    <t>Dominguez</t>
  </si>
  <si>
    <t>yor575@yahoo.com.ar</t>
  </si>
  <si>
    <t>Brasil 439</t>
  </si>
  <si>
    <t>https://yca.org.ar/home/shop/checkout/order-received/46864/?key=wc_order_4Z72H2Rdnx1KE</t>
  </si>
  <si>
    <t>https://yca.org.ar/home/shop/checkout/order-pay/46864/?pay_for_order=true&amp;key=wc_order_4Z72H2Rdnx1KE</t>
  </si>
  <si>
    <t>Donato</t>
  </si>
  <si>
    <t>Alejandra</t>
  </si>
  <si>
    <t>Gabay</t>
  </si>
  <si>
    <t>Montevideo</t>
  </si>
  <si>
    <t>alejandragabay@live.com.ar</t>
  </si>
  <si>
    <t>https://yca.org.ar/home/shop/checkout/order-received/46866/?key=wc_order_JW1QmVefqLORv</t>
  </si>
  <si>
    <t>https://yca.org.ar/home/shop/checkout/order-pay/46866/?pay_for_order=true&amp;key=wc_order_JW1QmVefqLORv</t>
  </si>
  <si>
    <t>CRR</t>
  </si>
  <si>
    <t>Andrés</t>
  </si>
  <si>
    <t>Gianni</t>
  </si>
  <si>
    <t>Cerra</t>
  </si>
  <si>
    <t>Prol. A Schilla 1902</t>
  </si>
  <si>
    <t>valeritacerra@gmail.com</t>
  </si>
  <si>
    <t>https://yca.org.ar/home/shop/checkout/order-received/46868/?key=wc_order_hu4DjOwdjne1g</t>
  </si>
  <si>
    <t>https://yca.org.ar/home/shop/checkout/order-pay/46868/?pay_for_order=true&amp;key=wc_order_hu4DjOwdjne1g</t>
  </si>
  <si>
    <t>Pierson</t>
  </si>
  <si>
    <t>Maria Noel</t>
  </si>
  <si>
    <t>Vacarezza</t>
  </si>
  <si>
    <t>Avenida Alvear 1976</t>
  </si>
  <si>
    <t>noelvaca@gmail.com</t>
  </si>
  <si>
    <t>https://yca.org.ar/home/shop/checkout/order-received/46869/?key=wc_order_lL4qkUun4Co7G</t>
  </si>
  <si>
    <t>https://yca.org.ar/home/shop/checkout/order-pay/46869/?pay_for_order=true&amp;key=wc_order_lL4qkUun4Co7G</t>
  </si>
  <si>
    <t>Antoni</t>
  </si>
  <si>
    <t>Amelia</t>
  </si>
  <si>
    <t>Alamos 256</t>
  </si>
  <si>
    <t>ViÃ±a del mar</t>
  </si>
  <si>
    <t>ameliazulueta@gmail.com</t>
  </si>
  <si>
    <t>https://yca.org.ar/home/shop/checkout/order-received/46872/?key=wc_order_t7cINoxAiRCTC</t>
  </si>
  <si>
    <t>https://yca.org.ar/home/shop/checkout/order-pay/46872/?pay_for_order=true&amp;key=wc_order_t7cINoxAiRCTC</t>
  </si>
  <si>
    <t>Serrano</t>
  </si>
  <si>
    <t>Vida tres</t>
  </si>
  <si>
    <t>https://yca.org.ar/wc-api/WC_WooMercadoPago_Custom_Gateway/?data.id=178696996919&amp;source_news=webhook&amp;type=payment</t>
  </si>
  <si>
    <t>https://yca.org.ar/home/shop/checkout/order-pay/46876/?pay_for_order=true&amp;key=wc_order_mbOCAN3VRY6jy</t>
  </si>
  <si>
    <t>Tincho</t>
  </si>
  <si>
    <t>Leandro</t>
  </si>
  <si>
    <t>Gentili</t>
  </si>
  <si>
    <t>Buchanan 546</t>
  </si>
  <si>
    <t>S2005</t>
  </si>
  <si>
    <t>cotizaciones@ortopediaintegral.com.ar</t>
  </si>
  <si>
    <t>https://yca.org.ar/home/shop/checkout/order-received/46877/?key=wc_order_0vEframQGkTBV</t>
  </si>
  <si>
    <t>https://yca.org.ar/home/shop/checkout/order-pay/46877/?pay_for_order=true&amp;key=wc_order_0vEframQGkTBV</t>
  </si>
  <si>
    <t>Sn</t>
  </si>
  <si>
    <t>Pinedo</t>
  </si>
  <si>
    <t>Calle 600 nÂ° 828</t>
  </si>
  <si>
    <t>agustinpinedo@gmail.com</t>
  </si>
  <si>
    <t>https://yca.org.ar/home/shop/checkout/order-received/46879/?key=wc_order_hoIJ85X91R58n</t>
  </si>
  <si>
    <t>https://yca.org.ar/home/shop/checkout/order-pay/46879/?pay_for_order=true&amp;key=wc_order_hoIJ85X91R58n</t>
  </si>
  <si>
    <t>Martiniano</t>
  </si>
  <si>
    <t>Pinedo Chiappa</t>
  </si>
  <si>
    <t>Carina</t>
  </si>
  <si>
    <t>Farinelli</t>
  </si>
  <si>
    <t>Diaz Velez 384</t>
  </si>
  <si>
    <t>carifari3@gmail.com</t>
  </si>
  <si>
    <t>https://yca.org.ar/home/shop/checkout/order-received/46884/?key=wc_order_T5hDbF33zQmmT</t>
  </si>
  <si>
    <t>https://yca.org.ar/home/shop/checkout/order-pay/46884/?pay_for_order=true&amp;key=wc_order_T5hDbF33zQmmT</t>
  </si>
  <si>
    <t>Demoledor</t>
  </si>
  <si>
    <t>Maffei</t>
  </si>
  <si>
    <t>OSDE 430</t>
  </si>
  <si>
    <t>https://yca.org.ar/home/shop/checkout/order-received/46885/?key=wc_order_vBgvJG1bCJtPT</t>
  </si>
  <si>
    <t>https://yca.org.ar/home/shop/checkout/order-pay/46885/?pay_for_order=true&amp;key=wc_order_vBgvJG1bCJtPT</t>
  </si>
  <si>
    <t>Phoenixheart</t>
  </si>
  <si>
    <t>Francesco</t>
  </si>
  <si>
    <t>MarÃ­a Eugenia Bottos</t>
  </si>
  <si>
    <t>Bottos</t>
  </si>
  <si>
    <t>Dorrego</t>
  </si>
  <si>
    <t>eugebottos@hotmail.com</t>
  </si>
  <si>
    <t>https://yca.org.ar/home/shop/checkout/order-received/46889/?key=wc_order_seul2FkVPFPsX</t>
  </si>
  <si>
    <t>https://yca.org.ar/home/shop/checkout/order-pay/46889/?pay_for_order=true&amp;key=wc_order_seul2FkVPFPsX</t>
  </si>
  <si>
    <t>Nn</t>
  </si>
  <si>
    <t>Velez</t>
  </si>
  <si>
    <t>Juan Manuel</t>
  </si>
  <si>
    <t>Salvatierra</t>
  </si>
  <si>
    <t>Tiscornia 923</t>
  </si>
  <si>
    <t>juanchosub@yahoo.com.ar</t>
  </si>
  <si>
    <t>https://yca.org.ar/home/shop/checkout/order-received/46891/?key=wc_order_3YV2OSZ5dTWAd</t>
  </si>
  <si>
    <t>https://yca.org.ar/home/shop/checkout/order-pay/46891/?pay_for_order=true&amp;key=wc_order_3YV2OSZ5dTWAd</t>
  </si>
  <si>
    <t>anabellasg33@gmail.com</t>
  </si>
  <si>
    <t>Bellorini</t>
  </si>
  <si>
    <t>Medrano 1670</t>
  </si>
  <si>
    <t>8Â° E</t>
  </si>
  <si>
    <t>jabellorini@gmail.com</t>
  </si>
  <si>
    <t>https://yca.org.ar/home/shop/checkout/order-pay/46901/?pay_for_order=true&amp;key=wc_order_oCzwfR7ZWGGW6</t>
  </si>
  <si>
    <t>KRAKEN</t>
  </si>
  <si>
    <t>facundobellorini@gmail.com</t>
  </si>
  <si>
    <t>Silvina</t>
  </si>
  <si>
    <t>Caruso Prahl</t>
  </si>
  <si>
    <t>Calle Echeverria 1200</t>
  </si>
  <si>
    <t>B1617HSJ</t>
  </si>
  <si>
    <t>silcarusoprahl@gmail.com</t>
  </si>
  <si>
    <t>https://yca.org.ar/home/shop/checkout/order-received/46902/?key=wc_order_blsMaK9W62m6V</t>
  </si>
  <si>
    <t>https://yca.org.ar/home/shop/checkout/order-pay/46902/?pay_for_order=true&amp;key=wc_order_blsMaK9W62m6V</t>
  </si>
  <si>
    <t>Morteo</t>
  </si>
  <si>
    <t>https://yca.org.ar/home/shop/checkout/order-received/46904/?key=wc_order_wmC4NlBJxDEe9</t>
  </si>
  <si>
    <t>https://yca.org.ar/home/shop/checkout/order-pay/46904/?pay_for_order=true&amp;key=wc_order_wmC4NlBJxDEe9</t>
  </si>
  <si>
    <t>Macarena</t>
  </si>
  <si>
    <t>av diaz velez 4145</t>
  </si>
  <si>
    <t>macarenafe@hotmail.com</t>
  </si>
  <si>
    <t>https://yca.org.ar/home/shop/checkout/order-received/46907/?key=wc_order_MgCDs8zf2Ypw3</t>
  </si>
  <si>
    <t>https://yca.org.ar/home/shop/checkout/order-pay/46907/?pay_for_order=true&amp;key=wc_order_MgCDs8zf2Ypw3</t>
  </si>
  <si>
    <t>Tsunami</t>
  </si>
  <si>
    <t>Stella</t>
  </si>
  <si>
    <t>Marcelo</t>
  </si>
  <si>
    <t>Cozar</t>
  </si>
  <si>
    <t>NOGOYA 3355</t>
  </si>
  <si>
    <t>cozarmarcelo@hotmail.com</t>
  </si>
  <si>
    <t>https://yca.org.ar/home/shop/checkout/order-received/46908/?key=wc_order_JnLNTzygsafTv</t>
  </si>
  <si>
    <t>https://yca.org.ar/home/shop/checkout/order-pay/46908/?pay_for_order=true&amp;key=wc_order_JnLNTzygsafTv</t>
  </si>
  <si>
    <t>Paloma</t>
  </si>
  <si>
    <t>Cozar Giuliani</t>
  </si>
  <si>
    <t>altelefonodeagus@hotmail.com</t>
  </si>
  <si>
    <t>Allegra Juliana</t>
  </si>
  <si>
    <t>Aranda</t>
  </si>
  <si>
    <t>Peru 475</t>
  </si>
  <si>
    <t>Aarandarodolfo090@gmail.com</t>
  </si>
  <si>
    <t>https://yca.org.ar/wc-api/WC_WooMercadoPago_Custom_Gateway/?data.id=178867674305&amp;source_news=webhook&amp;type=payment</t>
  </si>
  <si>
    <t>https://yca.org.ar/home/shop/checkout/order-pay/46909/?pay_for_order=true&amp;key=wc_order_P0XB6PPtxQKhE</t>
  </si>
  <si>
    <t>Optimist</t>
  </si>
  <si>
    <t>arandarodolfo090@gmail.com</t>
  </si>
  <si>
    <t>Particular</t>
  </si>
  <si>
    <t>Patricia</t>
  </si>
  <si>
    <t>Albornoz</t>
  </si>
  <si>
    <t>Doblas</t>
  </si>
  <si>
    <t>129 4 A</t>
  </si>
  <si>
    <t>albornozpr@gmail.com</t>
  </si>
  <si>
    <t>https://yca.org.ar/home/shop/checkout/order-received/46910/?key=wc_order_zZ0eh60IvF9Zh</t>
  </si>
  <si>
    <t>https://yca.org.ar/home/shop/checkout/order-pay/46910/?pay_for_order=true&amp;key=wc_order_zZ0eh60IvF9Zh</t>
  </si>
  <si>
    <t>Nuria</t>
  </si>
  <si>
    <t>López Bustos</t>
  </si>
  <si>
    <t>Glenda</t>
  </si>
  <si>
    <t>Douer</t>
  </si>
  <si>
    <t>Bulnes 1580</t>
  </si>
  <si>
    <t>Ciudad de Buenos aires</t>
  </si>
  <si>
    <t>glenda00@gmail.com</t>
  </si>
  <si>
    <t>https://yca.org.ar/home/shop/checkout/order-received/46913/?key=wc_order_reOIrS9WpEsri</t>
  </si>
  <si>
    <t>https://yca.org.ar/home/shop/checkout/order-pay/46913/?pay_for_order=true&amp;key=wc_order_reOIrS9WpEsri</t>
  </si>
  <si>
    <t>Aguila</t>
  </si>
  <si>
    <t>Elian</t>
  </si>
  <si>
    <t>Elkayam</t>
  </si>
  <si>
    <t>Carla</t>
  </si>
  <si>
    <t>Ferreyra</t>
  </si>
  <si>
    <t>Rivadavia 6179</t>
  </si>
  <si>
    <t>Loma hermosa</t>
  </si>
  <si>
    <t>Odonto_car1981@hotmail.com</t>
  </si>
  <si>
    <t>https://yca.org.ar/home/shop/checkout/order-received/46914/?key=wc_order_uAjcBvYKh7QX4</t>
  </si>
  <si>
    <t>https://yca.org.ar/home/shop/checkout/order-pay/46914/?pay_for_order=true&amp;key=wc_order_uAjcBvYKh7QX4</t>
  </si>
  <si>
    <t>Tempestad</t>
  </si>
  <si>
    <t>Agustín Alejandro</t>
  </si>
  <si>
    <t>Cerviño</t>
  </si>
  <si>
    <t>Osdepym</t>
  </si>
  <si>
    <t>https://yca.org.ar/home/shop/checkout/order-received/46915/?key=wc_order_cwSdjrXBPrIWO</t>
  </si>
  <si>
    <t>https://yca.org.ar/home/shop/checkout/order-pay/46915/?pay_for_order=true&amp;key=wc_order_cwSdjrXBPrIWO</t>
  </si>
  <si>
    <t>Intrepido</t>
  </si>
  <si>
    <t>AndrÃ©s</t>
  </si>
  <si>
    <t>RAVIOLA</t>
  </si>
  <si>
    <t>Anton 395</t>
  </si>
  <si>
    <t>andres25raviola@gmail.com</t>
  </si>
  <si>
    <t>https://yca.org.ar/home/shop/checkout/order-received/46926/?key=wc_order_NFegujYDuBMSM</t>
  </si>
  <si>
    <t>https://yca.org.ar/home/shop/checkout/order-pay/46926/?pay_for_order=true&amp;key=wc_order_NFegujYDuBMSM</t>
  </si>
  <si>
    <t>Raviola</t>
  </si>
  <si>
    <t>Massa</t>
  </si>
  <si>
    <t>Avenida BenavÃ­dez 1199</t>
  </si>
  <si>
    <t>villa bertha</t>
  </si>
  <si>
    <t>TIGRE</t>
  </si>
  <si>
    <t>B1621</t>
  </si>
  <si>
    <t>gabrielmassa7@gmail.com</t>
  </si>
  <si>
    <t>https://yca.org.ar/home/shop/checkout/order-received/46929/?key=wc_order_UNtPd8GAiuOYI</t>
  </si>
  <si>
    <t>https://yca.org.ar/home/shop/checkout/order-pay/46929/?pay_for_order=true&amp;key=wc_order_UNtPd8GAiuOYI</t>
  </si>
  <si>
    <t>FOCUS</t>
  </si>
  <si>
    <t>Massa Galli</t>
  </si>
  <si>
    <t>PeciÃ±a</t>
  </si>
  <si>
    <t>Independencia 1002</t>
  </si>
  <si>
    <t>correodelpecy@gmail.com</t>
  </si>
  <si>
    <t>https://yca.org.ar/home/shop/checkout/order-received/46936/?key=wc_order_aik3gFLMng7MF</t>
  </si>
  <si>
    <t>https://yca.org.ar/home/shop/checkout/order-pay/46936/?pay_for_order=true&amp;key=wc_order_aik3gFLMng7MF</t>
  </si>
  <si>
    <t>Peciña</t>
  </si>
  <si>
    <t>Rosmari</t>
  </si>
  <si>
    <t>Belloni</t>
  </si>
  <si>
    <t>Los platanos 766</t>
  </si>
  <si>
    <t>rosmaribelloni@gmail.com</t>
  </si>
  <si>
    <t>https://yca.org.ar/home/shop/checkout/order-received/46938/?key=wc_order_k7J8gAX7dHW44</t>
  </si>
  <si>
    <t>https://yca.org.ar/home/shop/checkout/order-pay/46938/?pay_for_order=true&amp;key=wc_order_k7J8gAX7dHW44</t>
  </si>
  <si>
    <t>Juanmartin</t>
  </si>
  <si>
    <t>Aquino</t>
  </si>
  <si>
    <t>juanmartin13a@gmail.com</t>
  </si>
  <si>
    <t>Federada salud</t>
  </si>
  <si>
    <t>Eugenio</t>
  </si>
  <si>
    <t>Balbuena</t>
  </si>
  <si>
    <t>SebastiÃ¡n elcano 468</t>
  </si>
  <si>
    <t>euge611@gmail.com</t>
  </si>
  <si>
    <t>https://yca.org.ar/home/shop/checkout/order-received/46940/?key=wc_order_WhY6x0v2vvpQY</t>
  </si>
  <si>
    <t>https://yca.org.ar/home/shop/checkout/order-pay/46940/?pay_for_order=true&amp;key=wc_order_WhY6x0v2vvpQY</t>
  </si>
  <si>
    <t>AOA / CPNLB</t>
  </si>
  <si>
    <t>Costa Urquiza</t>
  </si>
  <si>
    <t>REMEDIOS DE ESCALADA 2378</t>
  </si>
  <si>
    <t>jcostaurquiza@gmail.com</t>
  </si>
  <si>
    <t>https://yca.org.ar/home/shop/checkout/order-received/46941/?key=wc_order_16ZudbIlt5s5J</t>
  </si>
  <si>
    <t>https://yca.org.ar/home/shop/checkout/order-pay/46941/?pay_for_order=true&amp;key=wc_order_16ZudbIlt5s5J</t>
  </si>
  <si>
    <t>https://yca.org.ar/home/shop/checkout/order-received/46942/?key=wc_order_VO26zNITT4O61</t>
  </si>
  <si>
    <t>https://yca.org.ar/home/shop/checkout/order-pay/46942/?pay_for_order=true&amp;key=wc_order_VO26zNITT4O61</t>
  </si>
  <si>
    <t>Pepo</t>
  </si>
  <si>
    <t>https://yca.org.ar/home/shop/checkout/order-received/46945/?key=wc_order_YPN3TAnsSlCIx</t>
  </si>
  <si>
    <t>https://yca.org.ar/home/shop/checkout/order-pay/46945/?pay_for_order=true&amp;key=wc_order_YPN3TAnsSlCIx</t>
  </si>
  <si>
    <t>Hardt</t>
  </si>
  <si>
    <t>Bustillo 12600</t>
  </si>
  <si>
    <t>San Carlos de Bariloche</t>
  </si>
  <si>
    <t>khardt@bariloche.com.ar</t>
  </si>
  <si>
    <t>https://yca.org.ar/home/shop/checkout/order-received/46953/?key=wc_order_KmcsFToMn6kny</t>
  </si>
  <si>
    <t>https://yca.org.ar/home/shop/checkout/order-pay/46953/?pay_for_order=true&amp;key=wc_order_KmcsFToMn6kny</t>
  </si>
  <si>
    <t>Quino</t>
  </si>
  <si>
    <t>YCB</t>
  </si>
  <si>
    <t>Elio</t>
  </si>
  <si>
    <t>MedifÃ©</t>
  </si>
  <si>
    <t>https://yca.org.ar/wc-api/WC_WooMercadoPago_Custom_Gateway/?data.id=179051853281&amp;source_news=webhook&amp;type=payment</t>
  </si>
  <si>
    <t>https://yca.org.ar/home/shop/checkout/order-pay/46956/?pay_for_order=true&amp;key=wc_order_QvI47xBtacfGX</t>
  </si>
  <si>
    <t>Ico</t>
  </si>
  <si>
    <t>Isa</t>
  </si>
  <si>
    <t>Soledad</t>
  </si>
  <si>
    <t>MuÃ±oz</t>
  </si>
  <si>
    <t>CASEROS 2625</t>
  </si>
  <si>
    <t>sole_mz@yahoo.com.ar</t>
  </si>
  <si>
    <t>https://yca.org.ar/home/shop/checkout/order-received/46958/?key=wc_order_5EbsCle96l87S</t>
  </si>
  <si>
    <t>https://yca.org.ar/home/shop/checkout/order-pay/46958/?pay_for_order=true&amp;key=wc_order_5EbsCle96l87S</t>
  </si>
  <si>
    <t>Lola</t>
  </si>
  <si>
    <t>Barceló</t>
  </si>
  <si>
    <t>MarÃ­a Paula</t>
  </si>
  <si>
    <t>Velazco</t>
  </si>
  <si>
    <t>7 N 5172</t>
  </si>
  <si>
    <t>Punta Lara</t>
  </si>
  <si>
    <t>mpaulavelazco@gmail.com</t>
  </si>
  <si>
    <t>https://yca.org.ar/home/shop/checkout/order-received/46960/?key=wc_order_hnsq4o0okXSH0</t>
  </si>
  <si>
    <t>https://yca.org.ar/home/shop/checkout/order-pay/46960/?pay_for_order=true&amp;key=wc_order_hnsq4o0okXSH0</t>
  </si>
  <si>
    <t>Antonella</t>
  </si>
  <si>
    <t>Pastori</t>
  </si>
  <si>
    <t>EDUARDO</t>
  </si>
  <si>
    <t>MAINERO</t>
  </si>
  <si>
    <t>ENTRE RIOS 1060</t>
  </si>
  <si>
    <t>MATINEZ</t>
  </si>
  <si>
    <t>info@mainerowicht.com.ar</t>
  </si>
  <si>
    <t>https://yca.org.ar/home/shop/checkout/order-received/46963/?key=wc_order_4h7WXvVPSddhf</t>
  </si>
  <si>
    <t>https://yca.org.ar/home/shop/checkout/order-pay/46963/?pay_for_order=true&amp;key=wc_order_4h7WXvVPSddhf</t>
  </si>
  <si>
    <t>Mainero</t>
  </si>
  <si>
    <t>Prieto</t>
  </si>
  <si>
    <t>Las Heras</t>
  </si>
  <si>
    <t>claritaprieto@gmail.com</t>
  </si>
  <si>
    <t>https://yca.org.ar/home/shop/checkout/order-received/46964/?key=wc_order_uXZ4IMS7F2GLP</t>
  </si>
  <si>
    <t>https://yca.org.ar/home/shop/checkout/order-pay/46964/?pay_for_order=true&amp;key=wc_order_uXZ4IMS7F2GLP</t>
  </si>
  <si>
    <t>Febré Prieto</t>
  </si>
  <si>
    <t>febrenico@gmail.com</t>
  </si>
  <si>
    <t>Sabrina</t>
  </si>
  <si>
    <t>Hidalgo</t>
  </si>
  <si>
    <t>Del Arca 249</t>
  </si>
  <si>
    <t>sabhidalgo21@gmail.com</t>
  </si>
  <si>
    <t>https://yca.org.ar/home/shop/checkout/order-received/46967/?key=wc_order_SZoWRysdx6ZYm</t>
  </si>
  <si>
    <t>https://yca.org.ar/home/shop/checkout/order-pay/46967/?pay_for_order=true&amp;key=wc_order_SZoWRysdx6ZYm</t>
  </si>
  <si>
    <t>Calvo</t>
  </si>
  <si>
    <t>https://yca.org.ar/home/shop/checkout/order-received/46968/?key=wc_order_u0AsiRY3dY1GJ</t>
  </si>
  <si>
    <t>https://yca.org.ar/home/shop/checkout/order-pay/46968/?pay_for_order=true&amp;key=wc_order_u0AsiRY3dY1GJ</t>
  </si>
  <si>
    <t>Mariano</t>
  </si>
  <si>
    <t>Gibert</t>
  </si>
  <si>
    <t>Av Cantilo 3215</t>
  </si>
  <si>
    <t>Ciudad Autonoma de Buenos Aires</t>
  </si>
  <si>
    <t>C1426BTV</t>
  </si>
  <si>
    <t>marianogibert3@gmail.com</t>
  </si>
  <si>
    <t>https://yca.org.ar/home/shop/checkout/order-received/46969/?key=wc_order_TaZPZjAur7jYG</t>
  </si>
  <si>
    <t>https://yca.org.ar/home/shop/checkout/order-pay/46969/?pay_for_order=true&amp;key=wc_order_TaZPZjAur7jYG</t>
  </si>
  <si>
    <t>Fermin</t>
  </si>
  <si>
    <t>Andrea</t>
  </si>
  <si>
    <t>Taverna</t>
  </si>
  <si>
    <t>Av Carballo</t>
  </si>
  <si>
    <t>18 b</t>
  </si>
  <si>
    <t>andtaverna@gmail.com</t>
  </si>
  <si>
    <t>https://yca.org.ar/home/shop/checkout/order-received/46974/?key=wc_order_WzBBixwCtGHCY</t>
  </si>
  <si>
    <t>https://yca.org.ar/home/shop/checkout/order-pay/46974/?pay_for_order=true&amp;key=wc_order_WzBBixwCtGHCY</t>
  </si>
  <si>
    <t>Raineri Taverna</t>
  </si>
  <si>
    <t>nina.rt@icloud.com</t>
  </si>
  <si>
    <t>Mendo</t>
  </si>
  <si>
    <t>Libertad 318</t>
  </si>
  <si>
    <t>diego.s.mendo@gmail.com</t>
  </si>
  <si>
    <t>https://yca.org.ar/home/shop/checkout/order-received/46975/?key=wc_order_B8guU6RI7Hrqa</t>
  </si>
  <si>
    <t>https://yca.org.ar/home/shop/checkout/order-pay/46975/?pay_for_order=true&amp;key=wc_order_B8guU6RI7Hrqa</t>
  </si>
  <si>
    <t>Lloveras</t>
  </si>
  <si>
    <t>Van gogh 138</t>
  </si>
  <si>
    <t>Bariloche</t>
  </si>
  <si>
    <t>federico@alricgalindez.com</t>
  </si>
  <si>
    <t>https://yca.org.ar/wc-api/WC_WooMercadoPago_Custom_Gateway/?data.id=179080611513&amp;source_news=webhook&amp;type=payment</t>
  </si>
  <si>
    <t>https://yca.org.ar/home/shop/checkout/order-pay/46978/?pay_for_order=true&amp;key=wc_order_ovJcfH7EJwMRo</t>
  </si>
  <si>
    <t>Flasheaste confi</t>
  </si>
  <si>
    <t>medicus</t>
  </si>
  <si>
    <t>Frei</t>
  </si>
  <si>
    <t>Ruta 82 SN Arelauquen</t>
  </si>
  <si>
    <t>T25</t>
  </si>
  <si>
    <t>freiemmam@gmail.com</t>
  </si>
  <si>
    <t>https://yca.org.ar/home/shop/checkout/order-received/46981/?key=wc_order_cvJ6sF19PtkgE</t>
  </si>
  <si>
    <t>https://yca.org.ar/home/shop/checkout/order-pay/46981/?pay_for_order=true&amp;key=wc_order_cvJ6sF19PtkgE</t>
  </si>
  <si>
    <t>Noelia</t>
  </si>
  <si>
    <t>Raffin</t>
  </si>
  <si>
    <t>San Lorenzo 861</t>
  </si>
  <si>
    <t>PEREZ</t>
  </si>
  <si>
    <t>noeraffin@hotmail.com</t>
  </si>
  <si>
    <t>https://yca.org.ar/home/shop/checkout/order-received/46982/?key=wc_order_HUOpKzwzYzXcJ</t>
  </si>
  <si>
    <t>https://yca.org.ar/home/shop/checkout/order-pay/46982/?pay_for_order=true&amp;key=wc_order_HUOpKzwzYzXcJ</t>
  </si>
  <si>
    <t>Properzi</t>
  </si>
  <si>
    <t>MÃ¡s osdop</t>
  </si>
  <si>
    <t>https://yca.org.ar/home/shop/checkout/order-received/46984/?key=wc_order_bTLR1pggU0WQS</t>
  </si>
  <si>
    <t>https://yca.org.ar/home/shop/checkout/order-pay/46984/?pay_for_order=true&amp;key=wc_order_bTLR1pggU0WQS</t>
  </si>
  <si>
    <t>Francisca</t>
  </si>
  <si>
    <t>Ibarguren</t>
  </si>
  <si>
    <t>Suipacha 2584</t>
  </si>
  <si>
    <t>ibargurenfrancisca@gmail.com</t>
  </si>
  <si>
    <t>https://yca.org.ar/home/shop/checkout/order-received/46986/?key=wc_order_rdyraCj1UJCAU</t>
  </si>
  <si>
    <t>https://yca.org.ar/home/shop/checkout/order-pay/46986/?pay_for_order=true&amp;key=wc_order_rdyraCj1UJCAU</t>
  </si>
  <si>
    <t>Dinamita</t>
  </si>
  <si>
    <t>Castilla</t>
  </si>
  <si>
    <t>https://yca.org.ar/home/shop/checkout/order-received/46987/?key=wc_order_QVPffiDWK7r8P</t>
  </si>
  <si>
    <t>https://yca.org.ar/home/shop/checkout/order-pay/46987/?pay_for_order=true&amp;key=wc_order_QVPffiDWK7r8P</t>
  </si>
  <si>
    <t>Janko</t>
  </si>
  <si>
    <t>Donofrio Freytes</t>
  </si>
  <si>
    <t>SaÃ¡</t>
  </si>
  <si>
    <t>herrera 1923</t>
  </si>
  <si>
    <t>Comercio</t>
  </si>
  <si>
    <t>saacarolina@hotmail.com</t>
  </si>
  <si>
    <t>https://yca.org.ar/home/shop/checkout/order-received/46997/?key=wc_order_Pc0E5dy3208YZ</t>
  </si>
  <si>
    <t>https://yca.org.ar/home/shop/checkout/order-pay/46997/?pay_for_order=true&amp;key=wc_order_Pc0E5dy3208YZ</t>
  </si>
  <si>
    <t>Sofia</t>
  </si>
  <si>
    <t>Weir</t>
  </si>
  <si>
    <t>Rene</t>
  </si>
  <si>
    <t>Ros</t>
  </si>
  <si>
    <t>Riberas 38</t>
  </si>
  <si>
    <t>Bs as</t>
  </si>
  <si>
    <t>rosreneandres@gmail.com</t>
  </si>
  <si>
    <t>https://yca.org.ar/home/shop/checkout/order-received/47001/?key=wc_order_FKGUJqo5bzYnD</t>
  </si>
  <si>
    <t>https://yca.org.ar/home/shop/checkout/order-pay/47001/?pay_for_order=true&amp;key=wc_order_FKGUJqo5bzYnD</t>
  </si>
  <si>
    <t>Ros Molina</t>
  </si>
  <si>
    <t>Smg</t>
  </si>
  <si>
    <t>https://yca.org.ar/home/shop/checkout/order-received/47003/?key=wc_order_Dxoeh4moi7n9J</t>
  </si>
  <si>
    <t>https://yca.org.ar/home/shop/checkout/order-pay/47003/?pay_for_order=true&amp;key=wc_order_Dxoeh4moi7n9J</t>
  </si>
  <si>
    <t>Josip</t>
  </si>
  <si>
    <t>Cattarinich Toledo</t>
  </si>
  <si>
    <t>Kennedy 10210</t>
  </si>
  <si>
    <t>jcattarinich@gmail.com</t>
  </si>
  <si>
    <t>https://yca.org.ar/wc-api/WC_WooMercadoPago_Custom_Gateway/?data.id=179130067943&amp;source_news=webhook&amp;type=payment</t>
  </si>
  <si>
    <t>https://yca.org.ar/home/shop/checkout/order-pay/47007/?pay_for_order=true&amp;key=wc_order_234e3AVIwq5Ir</t>
  </si>
  <si>
    <t>El Rayo</t>
  </si>
  <si>
    <t>Jose Tomas</t>
  </si>
  <si>
    <t>Cattarinich</t>
  </si>
  <si>
    <t>miguel angel</t>
  </si>
  <si>
    <t>chavarria</t>
  </si>
  <si>
    <t>Bernardo de Irigoyen 1225</t>
  </si>
  <si>
    <t>ZARATE</t>
  </si>
  <si>
    <t>miguelchavarria673@yahoo.com</t>
  </si>
  <si>
    <t>https://yca.org.ar/home/shop/checkout/order-pay/47010/?pay_for_order=true&amp;key=wc_order_EEoddbg9u00mQ</t>
  </si>
  <si>
    <t>Chavarria</t>
  </si>
  <si>
    <t>GALENO AZUL</t>
  </si>
  <si>
    <t>https://yca.org.ar/home/shop/checkout/order-received/47011/?key=wc_order_tqCXjiPOEQoYd</t>
  </si>
  <si>
    <t>https://yca.org.ar/home/shop/checkout/order-pay/47011/?pay_for_order=true&amp;key=wc_order_tqCXjiPOEQoYd</t>
  </si>
  <si>
    <t>Mayorga</t>
  </si>
  <si>
    <t>Copernicus 2361</t>
  </si>
  <si>
    <t>facundomayorga@hotmail.com</t>
  </si>
  <si>
    <t>https://yca.org.ar/home/shop/checkout/order-received/47012/?key=wc_order_TqrPGtVaUtenW</t>
  </si>
  <si>
    <t>https://yca.org.ar/home/shop/checkout/order-pay/47012/?pay_for_order=true&amp;key=wc_order_TqrPGtVaUtenW</t>
  </si>
  <si>
    <t>https://yca.org.ar/home/shop/checkout/order-received/47013/?key=wc_order_veVYPoiAbh42b</t>
  </si>
  <si>
    <t>https://yca.org.ar/home/shop/checkout/order-pay/47013/?pay_for_order=true&amp;key=wc_order_veVYPoiAbh42b</t>
  </si>
  <si>
    <t>Boeri</t>
  </si>
  <si>
    <t>Caracas 1060</t>
  </si>
  <si>
    <t>hernanboeri@gmail.com</t>
  </si>
  <si>
    <t>https://yca.org.ar/home/shop/checkout/order-received/47015/?key=wc_order_RIJYWHoXH35Rd</t>
  </si>
  <si>
    <t>https://yca.org.ar/home/shop/checkout/order-pay/47015/?pay_for_order=true&amp;key=wc_order_RIJYWHoXH35Rd</t>
  </si>
  <si>
    <t>Camilo</t>
  </si>
  <si>
    <t>Boeri Di Giorgio</t>
  </si>
  <si>
    <t>https://yca.org.ar/home/shop/checkout/order-received/47016/?key=wc_order_Q4tGXY7iLWOVg</t>
  </si>
  <si>
    <t>https://yca.org.ar/home/shop/checkout/order-pay/47016/?pay_for_order=true&amp;key=wc_order_Q4tGXY7iLWOVg</t>
  </si>
  <si>
    <t>https://yca.org.ar/home/shop/checkout/order-received/47020/?key=wc_order_NQYa3WSJDecoK</t>
  </si>
  <si>
    <t>https://yca.org.ar/home/shop/checkout/order-pay/47020/?pay_for_order=true&amp;key=wc_order_NQYa3WSJDecoK</t>
  </si>
  <si>
    <t>Romeo</t>
  </si>
  <si>
    <t>Nieva</t>
  </si>
  <si>
    <t>https://yca.org.ar/home/shop/checkout/order-received/47021/?key=wc_order_Ebd87b4YUCxbY</t>
  </si>
  <si>
    <t>https://yca.org.ar/home/shop/checkout/order-pay/47021/?pay_for_order=true&amp;key=wc_order_Ebd87b4YUCxbY</t>
  </si>
  <si>
    <t>Samuel</t>
  </si>
  <si>
    <t>Cordoba</t>
  </si>
  <si>
    <t>https://yca.org.ar/home/shop/checkout/order-received/47022/?key=wc_order_azlNcc7yIv3h3</t>
  </si>
  <si>
    <t>https://yca.org.ar/home/shop/checkout/order-pay/47022/?pay_for_order=true&amp;key=wc_order_azlNcc7yIv3h3</t>
  </si>
  <si>
    <t>Joselyn</t>
  </si>
  <si>
    <t>Barrera</t>
  </si>
  <si>
    <t>NOELIA</t>
  </si>
  <si>
    <t>Calle 22 579</t>
  </si>
  <si>
    <t>B1902</t>
  </si>
  <si>
    <t>noeliafmartinez@gmail.com</t>
  </si>
  <si>
    <t>https://yca.org.ar/home/shop/checkout/order-received/47024/?key=wc_order_g440VVM8nuA1V</t>
  </si>
  <si>
    <t>https://yca.org.ar/home/shop/checkout/order-pay/47024/?pay_for_order=true&amp;key=wc_order_g440VVM8nuA1V</t>
  </si>
  <si>
    <t>Bernarda</t>
  </si>
  <si>
    <t>Mercerat</t>
  </si>
  <si>
    <t>MARIA CECILIA</t>
  </si>
  <si>
    <t>HERBST</t>
  </si>
  <si>
    <t>Ituzaingo 328</t>
  </si>
  <si>
    <t>mcecih@hotmail.com</t>
  </si>
  <si>
    <t>https://yca.org.ar/home/shop/checkout/order-received/47025/?key=wc_order_Tm8JOAMe7zGvN</t>
  </si>
  <si>
    <t>https://yca.org.ar/home/shop/checkout/order-pay/47025/?pay_for_order=true&amp;key=wc_order_Tm8JOAMe7zGvN</t>
  </si>
  <si>
    <t>CHINA</t>
  </si>
  <si>
    <t>Guille</t>
  </si>
  <si>
    <t>JOSE</t>
  </si>
  <si>
    <t>VUGDELIJA</t>
  </si>
  <si>
    <t>loreto 2548</t>
  </si>
  <si>
    <t>9A</t>
  </si>
  <si>
    <t>ppvugde@gmail.com</t>
  </si>
  <si>
    <t>https://yca.org.ar/home/shop/checkout/order-pay/47027/?pay_for_order=true&amp;key=wc_order_tjFVvCwfEfbfL</t>
  </si>
  <si>
    <t>Vugdelija</t>
  </si>
  <si>
    <t>Carlos Alberto</t>
  </si>
  <si>
    <t>Krenek</t>
  </si>
  <si>
    <t>buenos aires</t>
  </si>
  <si>
    <t>carloskrenek@yahoo.com.ar</t>
  </si>
  <si>
    <t>https://yca.org.ar/home/shop/checkout/order-received/47028/?key=wc_order_lpNKYM27aIo9v</t>
  </si>
  <si>
    <t>https://yca.org.ar/home/shop/checkout/order-pay/47028/?pay_for_order=true&amp;key=wc_order_lpNKYM27aIo9v</t>
  </si>
  <si>
    <t>https://yca.org.ar/home/shop/checkout/order-received/47030/?key=wc_order_akN17VFNvioNn</t>
  </si>
  <si>
    <t>https://yca.org.ar/home/shop/checkout/order-pay/47030/?pay_for_order=true&amp;key=wc_order_akN17VFNvioNn</t>
  </si>
  <si>
    <t>Carmela</t>
  </si>
  <si>
    <t>https://yca.org.ar/home/shop/checkout/order-received/47031/?key=wc_order_KId5BBCvdJGtB</t>
  </si>
  <si>
    <t>https://yca.org.ar/home/shop/checkout/order-pay/47031/?pay_for_order=true&amp;key=wc_order_KId5BBCvdJGtB</t>
  </si>
  <si>
    <t>https://yca.org.ar/home/shop/checkout/order-received/47033/?key=wc_order_tyhDnvF57K4h8</t>
  </si>
  <si>
    <t>https://yca.org.ar/home/shop/checkout/order-pay/47033/?pay_for_order=true&amp;key=wc_order_tyhDnvF57K4h8</t>
  </si>
  <si>
    <t>Maria Cecilia</t>
  </si>
  <si>
    <t>Herbst</t>
  </si>
  <si>
    <t>B2800JFF</t>
  </si>
  <si>
    <t>https://yca.org.ar/home/shop/checkout/order-received/47034/?key=wc_order_QtLOcF5TpP3qg</t>
  </si>
  <si>
    <t>https://yca.org.ar/home/shop/checkout/order-pay/47034/?pay_for_order=true&amp;key=wc_order_QtLOcF5TpP3qg</t>
  </si>
  <si>
    <t>https://yca.org.ar/home/shop/checkout/order-received/47038/?key=wc_order_mquIaL3FiKjSz</t>
  </si>
  <si>
    <t>https://yca.org.ar/home/shop/checkout/order-pay/47038/?pay_for_order=true&amp;key=wc_order_mquIaL3FiKjSz</t>
  </si>
  <si>
    <t>CNP / Gold Winds</t>
  </si>
  <si>
    <t>Ignacioperezvergara@gmail.com</t>
  </si>
  <si>
    <t>Analia</t>
  </si>
  <si>
    <t>Litoral 946</t>
  </si>
  <si>
    <t>anaylari@hotmail.com</t>
  </si>
  <si>
    <t>3329 339563</t>
  </si>
  <si>
    <t>https://yca.org.ar/home/shop/checkout/order-received/47039/?key=wc_order_I1LujhN4Bz9CE</t>
  </si>
  <si>
    <t>https://yca.org.ar/home/shop/checkout/order-pay/47039/?pay_for_order=true&amp;key=wc_order_I1LujhN4Bz9CE</t>
  </si>
  <si>
    <t>Aimé</t>
  </si>
  <si>
    <t>COMEI</t>
  </si>
  <si>
    <t>https://yca.org.ar/home/shop/checkout/order-received/47040/?key=wc_order_CWfWEdKPEJh6G</t>
  </si>
  <si>
    <t>https://yca.org.ar/home/shop/checkout/order-pay/47040/?pay_for_order=true&amp;key=wc_order_CWfWEdKPEJh6G</t>
  </si>
  <si>
    <t>ignacioperezvergara@gmail.comi</t>
  </si>
  <si>
    <t>Repetto</t>
  </si>
  <si>
    <t>NICOLAS AVELLANEDA 494</t>
  </si>
  <si>
    <t>DPT 6</t>
  </si>
  <si>
    <t>leandrorepetto@hotmail.com</t>
  </si>
  <si>
    <t>https://yca.org.ar/home/shop/checkout/order-received/47051/?key=wc_order_zekeDOb58qtF9</t>
  </si>
  <si>
    <t>https://yca.org.ar/home/shop/checkout/order-pay/47051/?pay_for_order=true&amp;key=wc_order_zekeDOb58qtF9</t>
  </si>
  <si>
    <t>TRUENO</t>
  </si>
  <si>
    <t>Valentino</t>
  </si>
  <si>
    <t>debe autorizacion</t>
  </si>
  <si>
    <t>Lobos</t>
  </si>
  <si>
    <t>Golf De Manquehue 9750</t>
  </si>
  <si>
    <t>Casa 814</t>
  </si>
  <si>
    <t>vlv@lobosarq.cl</t>
  </si>
  <si>
    <t>https://yca.org.ar/home/shop/checkout/order-received/47053/?key=wc_order_Qwmm5RTq3t3z3</t>
  </si>
  <si>
    <t>https://yca.org.ar/home/shop/checkout/order-pay/47053/?pay_for_order=true&amp;key=wc_order_Qwmm5RTq3t3z3</t>
  </si>
  <si>
    <t>La Roja</t>
  </si>
  <si>
    <t>Isapre Consalud</t>
  </si>
  <si>
    <t>Noel</t>
  </si>
  <si>
    <t>Muntane</t>
  </si>
  <si>
    <t>IRLANDA</t>
  </si>
  <si>
    <t>muntanemarianoel@gmail.com.arail.com</t>
  </si>
  <si>
    <t>https://yca.org.ar/home/shop/checkout/order-received/47062/?key=wc_order_IYuyb2emTSWsB</t>
  </si>
  <si>
    <t>https://yca.org.ar/home/shop/checkout/order-pay/47062/?pay_for_order=true&amp;key=wc_order_IYuyb2emTSWsB</t>
  </si>
  <si>
    <t>Gomez</t>
  </si>
  <si>
    <t>muntanenoel@gmail.com</t>
  </si>
  <si>
    <t>https://yca.org.ar/home/shop/checkout/order-received/47063/?key=wc_order_D4DFvaNu0cBgT</t>
  </si>
  <si>
    <t>https://yca.org.ar/home/shop/checkout/order-pay/47063/?pay_for_order=true&amp;key=wc_order_D4DFvaNu0cBgT</t>
  </si>
  <si>
    <t>Meteoro</t>
  </si>
  <si>
    <t>Marina</t>
  </si>
  <si>
    <t>Santini</t>
  </si>
  <si>
    <t>Cordoba 2662</t>
  </si>
  <si>
    <t>3C</t>
  </si>
  <si>
    <t>Olivos</t>
  </si>
  <si>
    <t>santinimarina@gmail.com</t>
  </si>
  <si>
    <t>https://yca.org.ar/home/shop/checkout/order-received/47064/?key=wc_order_0eIoFinH9IeyH</t>
  </si>
  <si>
    <t>https://yca.org.ar/home/shop/checkout/order-pay/47064/?pay_for_order=true&amp;key=wc_order_0eIoFinH9IeyH</t>
  </si>
  <si>
    <t>Tomas Santiago</t>
  </si>
  <si>
    <t>Eastman</t>
  </si>
  <si>
    <t>Cristina</t>
  </si>
  <si>
    <t>Rosales</t>
  </si>
  <si>
    <t>Tintoretto S/N Punto Claro</t>
  </si>
  <si>
    <t>CÃ²rdoba</t>
  </si>
  <si>
    <t>X</t>
  </si>
  <si>
    <t>X5189</t>
  </si>
  <si>
    <t>cristinarosalespc@gmail.com</t>
  </si>
  <si>
    <t>https://yca.org.ar/home/shop/checkout/order-received/47067/?key=wc_order_7lLAxe03JRZtY</t>
  </si>
  <si>
    <t>https://yca.org.ar/home/shop/checkout/order-pay/47067/?pay_for_order=true&amp;key=wc_order_7lLAxe03JRZtY</t>
  </si>
  <si>
    <t>CNPA / WIND</t>
  </si>
  <si>
    <t>De Cesaris</t>
  </si>
  <si>
    <t>MET ( medicina privada )</t>
  </si>
  <si>
    <t>Pago en el Club (#47053)</t>
  </si>
  <si>
    <t>https://yca.org.ar/home/shop/checkout/order-received/47073/?key=wc_order_SxKwLHAIkWKbm</t>
  </si>
  <si>
    <t>https://yca.org.ar/home/shop/checkout/order-pay/47073/?pay_for_order=true&amp;key=wc_order_SxKwLHAIkWKbm</t>
  </si>
  <si>
    <t>Bob Esponja</t>
  </si>
  <si>
    <t>Filipa</t>
  </si>
  <si>
    <t>RAMIREZ MICHELETTI</t>
  </si>
  <si>
    <t>Doctor Francisco Riva 774</t>
  </si>
  <si>
    <t>S2001</t>
  </si>
  <si>
    <t>mariagraciaramirezm@gmail.com</t>
  </si>
  <si>
    <t>https://yca.org.ar/home/shop/checkout/order-received/47074/?key=wc_order_ijiH9HH50kN9d</t>
  </si>
  <si>
    <t>https://yca.org.ar/home/shop/checkout/order-pay/47074/?pay_for_order=true&amp;key=wc_order_ijiH9HH50kN9d</t>
  </si>
  <si>
    <t>Florencia Aylen</t>
  </si>
  <si>
    <t>Ruiz Díaz Ramírez</t>
  </si>
  <si>
    <t>Navarro 5478</t>
  </si>
  <si>
    <t>juanpablocvr@gmail.com</t>
  </si>
  <si>
    <t>https://yca.org.ar/home/shop/checkout/order-received/47075/?key=wc_order_4Md9XhKUmNc0T</t>
  </si>
  <si>
    <t>https://yca.org.ar/home/shop/checkout/order-pay/47075/?pay_for_order=true&amp;key=wc_order_4Md9XhKUmNc0T</t>
  </si>
  <si>
    <t>Flecha</t>
  </si>
  <si>
    <t>Estefania</t>
  </si>
  <si>
    <t>Guerra Weder</t>
  </si>
  <si>
    <t>AMR</t>
  </si>
  <si>
    <t>carlos alfredo</t>
  </si>
  <si>
    <t>Lacchini</t>
  </si>
  <si>
    <t>Calle 10</t>
  </si>
  <si>
    <t>City Bell</t>
  </si>
  <si>
    <t>carloslacchini@gmail.com</t>
  </si>
  <si>
    <t>https://yca.org.ar/home/shop/checkout/order-received/47077/?key=wc_order_wNOq81qgpnZ4s</t>
  </si>
  <si>
    <t>https://yca.org.ar/home/shop/checkout/order-pay/47077/?pay_for_order=true&amp;key=wc_order_wNOq81qgpnZ4s</t>
  </si>
  <si>
    <t>Biondina 2.0</t>
  </si>
  <si>
    <t>Fausto</t>
  </si>
  <si>
    <t>NATALIA ANDREA</t>
  </si>
  <si>
    <t>REY</t>
  </si>
  <si>
    <t>griveo 2529</t>
  </si>
  <si>
    <t>nati15rey@gmail.com</t>
  </si>
  <si>
    <t>https://yca.org.ar/home/shop/checkout/order-received/47078/?key=wc_order_O1twa9H92qDXk</t>
  </si>
  <si>
    <t>https://yca.org.ar/home/shop/checkout/order-pay/47078/?pay_for_order=true&amp;key=wc_order_O1twa9H92qDXk</t>
  </si>
  <si>
    <t>Matilde</t>
  </si>
  <si>
    <t>Korendij</t>
  </si>
  <si>
    <t>https://yca.org.ar/home/shop/checkout/order-pay/47081/?pay_for_order=true&amp;key=wc_order_usul9d4YHib4D</t>
  </si>
  <si>
    <t>Bernardo</t>
  </si>
  <si>
    <t>Ibañez</t>
  </si>
  <si>
    <t>Seguro</t>
  </si>
  <si>
    <t>Atanasopulos</t>
  </si>
  <si>
    <t>CNEL RAMON L FALCON 01618</t>
  </si>
  <si>
    <t>maratana80@gmail.com</t>
  </si>
  <si>
    <t>https://yca.org.ar/home/shop/checkout/order-received/47085/?key=wc_order_HJOzFRoLxZvB1</t>
  </si>
  <si>
    <t>https://yca.org.ar/home/shop/checkout/order-pay/47085/?pay_for_order=true&amp;key=wc_order_HJOzFRoLxZvB1</t>
  </si>
  <si>
    <t>https://yca.org.ar/home/shop/checkout/order-received/47087/?key=wc_order_uDpQJH06dMxt4</t>
  </si>
  <si>
    <t>https://yca.org.ar/home/shop/checkout/order-pay/47087/?pay_for_order=true&amp;key=wc_order_uDpQJH06dMxt4</t>
  </si>
  <si>
    <t>BERMUDEZ GOLINELLI</t>
  </si>
  <si>
    <t>https://yca.org.ar/home/shop/checkout/order-received/47092/?key=wc_order_pEH3tjBgvsGGo</t>
  </si>
  <si>
    <t>https://yca.org.ar/home/shop/checkout/order-pay/47092/?pay_for_order=true&amp;key=wc_order_pEH3tjBgvsGGo</t>
  </si>
  <si>
    <t>A PLENO!</t>
  </si>
  <si>
    <t>Silvestre</t>
  </si>
  <si>
    <t>silvestre@indictum.com.ar</t>
  </si>
  <si>
    <t>Delfina</t>
  </si>
  <si>
    <t>Freixas</t>
  </si>
  <si>
    <t>1364 Cerrito</t>
  </si>
  <si>
    <t>Retiro</t>
  </si>
  <si>
    <t>delfinafreixas@hotmail.com</t>
  </si>
  <si>
    <t>https://yca.org.ar/home/shop/checkout/order-received/47095/?key=wc_order_N51ldUj7nwE3w</t>
  </si>
  <si>
    <t>https://yca.org.ar/home/shop/checkout/order-pay/47095/?pay_for_order=true&amp;key=wc_order_N51ldUj7nwE3w</t>
  </si>
  <si>
    <t>Hagrid</t>
  </si>
  <si>
    <t>Elizondo</t>
  </si>
  <si>
    <t>Blanco</t>
  </si>
  <si>
    <t>Trieste 640</t>
  </si>
  <si>
    <t>Berisso</t>
  </si>
  <si>
    <t>bauedlp11@hotmail.com</t>
  </si>
  <si>
    <t>https://yca.org.ar/home/shop/checkout/order-received/47103/?key=wc_order_hw7sFAJH9ox4H</t>
  </si>
  <si>
    <t>https://yca.org.ar/home/shop/checkout/order-pay/47103/?pay_for_order=true&amp;key=wc_order_hw7sFAJH9ox4H</t>
  </si>
  <si>
    <t>Simona</t>
  </si>
  <si>
    <t>Mariaveronicalelli@gmail.com</t>
  </si>
  <si>
    <t>PAMI</t>
  </si>
  <si>
    <t>https://yca.org.ar/home/shop/checkout/order-received/47114/?key=wc_order_VoXgkCGFSlikS</t>
  </si>
  <si>
    <t>https://yca.org.ar/home/shop/checkout/order-pay/47114/?pay_for_order=true&amp;key=wc_order_VoXgkCGFSlikS</t>
  </si>
  <si>
    <t>Pilar</t>
  </si>
  <si>
    <t>Lozano</t>
  </si>
  <si>
    <t>estudiojuridicolozano@hotmail.com</t>
  </si>
  <si>
    <t>CLAUDIO</t>
  </si>
  <si>
    <t>LEON</t>
  </si>
  <si>
    <t>Condominio Algarrobos 3, Colina</t>
  </si>
  <si>
    <t>Santiago De Chile</t>
  </si>
  <si>
    <t>cleon@citm.cl</t>
  </si>
  <si>
    <t>https://yca.org.ar/home/shop/checkout/order-received/47115/?key=wc_order_LeW2eeK1qyjCL</t>
  </si>
  <si>
    <t>https://yca.org.ar/home/shop/checkout/order-pay/47115/?pay_for_order=true&amp;key=wc_order_LeW2eeK1qyjCL</t>
  </si>
  <si>
    <t>PARODI</t>
  </si>
  <si>
    <t>Leon</t>
  </si>
  <si>
    <t>BANMEDICA</t>
  </si>
  <si>
    <t>Cmte. Luis Piedra Buena 3565</t>
  </si>
  <si>
    <t>casa</t>
  </si>
  <si>
    <t>cozarpatricio4@gmail.com</t>
  </si>
  <si>
    <t>https://yca.org.ar/home/shop/checkout/order-received/47119/?key=wc_order_mDucly2LxKbvT</t>
  </si>
  <si>
    <t>https://yca.org.ar/home/shop/checkout/order-pay/47119/?pay_for_order=true&amp;key=wc_order_mDucly2LxKbvT</t>
  </si>
  <si>
    <t>MATEO</t>
  </si>
  <si>
    <t>AMESPIL</t>
  </si>
  <si>
    <t>JUEZ ESTRADA 2883</t>
  </si>
  <si>
    <t>MAMESPIL@HOTMAIL.COM</t>
  </si>
  <si>
    <t>https://yca.org.ar/home/shop/checkout/order-received/47120/?key=wc_order_4t9EldFQqvtl9</t>
  </si>
  <si>
    <t>https://yca.org.ar/home/shop/checkout/order-pay/47120/?pay_for_order=true&amp;key=wc_order_4t9EldFQqvtl9</t>
  </si>
  <si>
    <t>Amespil</t>
  </si>
  <si>
    <t>mateo.amespil@gmail.com</t>
  </si>
  <si>
    <t>MarÃ­a de la Luz</t>
  </si>
  <si>
    <t>Palau</t>
  </si>
  <si>
    <t>Comandante Leonardo Rosales 2729</t>
  </si>
  <si>
    <t>1 B</t>
  </si>
  <si>
    <t>lulipalau@hotmail.com</t>
  </si>
  <si>
    <t>https://yca.org.ar/home/shop/checkout/order-received/47125/?key=wc_order_N3oP1uWLasvSg</t>
  </si>
  <si>
    <t>https://yca.org.ar/home/shop/checkout/order-pay/47125/?pay_for_order=true&amp;key=wc_order_N3oP1uWLasvSg</t>
  </si>
  <si>
    <t>Luque</t>
  </si>
  <si>
    <t>https://yca.org.ar/home/shop/checkout/order-received/47129/?key=wc_order_NK2CpyTN9qHBg</t>
  </si>
  <si>
    <t>https://yca.org.ar/home/shop/checkout/order-pay/47129/?pay_for_order=true&amp;key=wc_order_NK2CpyTN9qHBg</t>
  </si>
  <si>
    <t>Catarina</t>
  </si>
  <si>
    <t>https://yca.org.ar/home/shop/checkout/order-received/47136/?key=wc_order_jzBl99ptnRth2</t>
  </si>
  <si>
    <t>https://yca.org.ar/home/shop/checkout/order-pay/47136/?pay_for_order=true&amp;key=wc_order_jzBl99ptnRth2</t>
  </si>
  <si>
    <t>Quinto</t>
  </si>
  <si>
    <t>Kuster Iglesias</t>
  </si>
  <si>
    <t>Carlos Pellegrini Este 3651</t>
  </si>
  <si>
    <t>L 19</t>
  </si>
  <si>
    <t>San Juan</t>
  </si>
  <si>
    <t>J</t>
  </si>
  <si>
    <t>jukuster-iglesias@hotmail.com</t>
  </si>
  <si>
    <t>https://yca.org.ar/home/shop/checkout/order-received/47138/?key=wc_order_wMHpUrtOlmFlx</t>
  </si>
  <si>
    <t>https://yca.org.ar/home/shop/checkout/order-pay/47138/?pay_for_order=true&amp;key=wc_order_wMHpUrtOlmFlx</t>
  </si>
  <si>
    <t>CSVR San Juan</t>
  </si>
  <si>
    <t>Manuel W</t>
  </si>
  <si>
    <t>Iglesias Kuster</t>
  </si>
  <si>
    <t>Juan Cruz</t>
  </si>
  <si>
    <t>Ocariz</t>
  </si>
  <si>
    <t>Paraguay 610</t>
  </si>
  <si>
    <t>ocarizjuancruz@gmail.com</t>
  </si>
  <si>
    <t>https://yca.org.ar/inscriptos-timoneles-sba-2026/</t>
  </si>
  <si>
    <t>https://yca.org.ar/home/shop/checkout/order-pay/47143/?pay_for_order=true&amp;key=wc_order_zXtXBS66GxPgK</t>
  </si>
  <si>
    <t>Recaudillo</t>
  </si>
  <si>
    <t>Poder Judicial</t>
  </si>
  <si>
    <t>Sofia Raquel</t>
  </si>
  <si>
    <t>Arteta</t>
  </si>
  <si>
    <t>catamarca 2512</t>
  </si>
  <si>
    <t>sofiaarteta@hotmail.com</t>
  </si>
  <si>
    <t>https://yca.org.ar/home/shop/checkout/order-received/47144/?key=wc_order_KCuJlm5OadGjF</t>
  </si>
  <si>
    <t>https://yca.org.ar/home/shop/checkout/order-pay/47144/?pay_for_order=true&amp;key=wc_order_KCuJlm5OadGjF</t>
  </si>
  <si>
    <t>Paoli</t>
  </si>
  <si>
    <t>https://yca.org.ar/home/shop/checkout/order-received/47146/?key=wc_order_eyga7eRJEN5qp</t>
  </si>
  <si>
    <t>https://yca.org.ar/home/shop/checkout/order-pay/47146/?pay_for_order=true&amp;key=wc_order_eyga7eRJEN5qp</t>
  </si>
  <si>
    <t>Arocena</t>
  </si>
  <si>
    <t>Miguens 3659</t>
  </si>
  <si>
    <t>luchoarocena@gmail.com</t>
  </si>
  <si>
    <t>https://yca.org.ar/wc-api/WC_WooMercadoPago_Custom_Gateway/?data.id=179235610779&amp;source_news=webhook&amp;type=payment</t>
  </si>
  <si>
    <t>https://yca.org.ar/home/shop/checkout/order-pay/47151/?pay_for_order=true&amp;key=wc_order_AA0gpJ8ZYwAID</t>
  </si>
  <si>
    <t>AOA / CNSI</t>
  </si>
  <si>
    <t>Joaco</t>
  </si>
  <si>
    <t>Poder Judicial de la NaciÃ³n</t>
  </si>
  <si>
    <t>Castex</t>
  </si>
  <si>
    <t>Cerrito 1290</t>
  </si>
  <si>
    <t>fcastex@gmail.com</t>
  </si>
  <si>
    <t>https://yca.org.ar/home/shop/checkout/order-received/47159/?key=wc_order_unBFAkztp8XpC</t>
  </si>
  <si>
    <t>https://yca.org.ar/home/shop/checkout/order-pay/47159/?pay_for_order=true&amp;key=wc_order_unBFAkztp8XpC</t>
  </si>
  <si>
    <t>Lopez Oriolo</t>
  </si>
  <si>
    <t>GALVAN 2877</t>
  </si>
  <si>
    <t>PISO 4</t>
  </si>
  <si>
    <t>pablolopezoriolo@gmail.com</t>
  </si>
  <si>
    <t>https://yca.org.ar/home/shop/checkout/order-received/47160/?key=wc_order_r66N389hdxjCV</t>
  </si>
  <si>
    <t>https://yca.org.ar/home/shop/checkout/order-pay/47160/?pay_for_order=true&amp;key=wc_order_r66N389hdxjCV</t>
  </si>
  <si>
    <t>Paz</t>
  </si>
  <si>
    <t>Mercedes</t>
  </si>
  <si>
    <t>de Cano Funes</t>
  </si>
  <si>
    <t>63 n 2289</t>
  </si>
  <si>
    <t>tifamilia@gmail.com</t>
  </si>
  <si>
    <t>https://yca.org.ar/home/shop/checkout/order-received/47161/?key=wc_order_bQlLqbpFpF1BF</t>
  </si>
  <si>
    <t>https://yca.org.ar/home/shop/checkout/order-pay/47161/?pay_for_order=true&amp;key=wc_order_bQlLqbpFpF1BF</t>
  </si>
  <si>
    <t>HELIOS</t>
  </si>
  <si>
    <t>Tejada Ibañez</t>
  </si>
  <si>
    <t>Zabala</t>
  </si>
  <si>
    <t>Eduardo Acevedo</t>
  </si>
  <si>
    <t>Ciudad AutÃ³noma de Buenos Aires</t>
  </si>
  <si>
    <t>franciscozabala@gmail.com</t>
  </si>
  <si>
    <t>https://yca.org.ar/home/shop/checkout/order-received/47163/?key=wc_order_VFoquoZ5Hr7Dh</t>
  </si>
  <si>
    <t>https://yca.org.ar/home/shop/checkout/order-pay/47163/?pay_for_order=true&amp;key=wc_order_VFoquoZ5Hr7Dh</t>
  </si>
  <si>
    <t>AOA / CUBA</t>
  </si>
  <si>
    <t>https://yca.org.ar/home/shop/checkout/order-received/47165/?key=wc_order_PALoCVmS3aKWi</t>
  </si>
  <si>
    <t>https://yca.org.ar/home/shop/checkout/order-pay/47165/?pay_for_order=true&amp;key=wc_order_PALoCVmS3aKWi</t>
  </si>
  <si>
    <t>Gonzalez</t>
  </si>
  <si>
    <t>Acosta 5959</t>
  </si>
  <si>
    <t>econosmdq@gmail.com</t>
  </si>
  <si>
    <t>https://yca.org.ar/home/shop/checkout/order-received/47166/?key=wc_order_RW3LGcHLo5VvK</t>
  </si>
  <si>
    <t>https://yca.org.ar/home/shop/checkout/order-pay/47166/?pay_for_order=true&amp;key=wc_order_RW3LGcHLo5VvK</t>
  </si>
  <si>
    <t>Cobra II</t>
  </si>
  <si>
    <t>YCA / CNMP</t>
  </si>
  <si>
    <t>Imanol</t>
  </si>
  <si>
    <t>Gonzalez Negri</t>
  </si>
  <si>
    <t>Javier</t>
  </si>
  <si>
    <t>Vazquez</t>
  </si>
  <si>
    <t>Bolivar 523</t>
  </si>
  <si>
    <t>javiervv22@icloud.com</t>
  </si>
  <si>
    <t>https://yca.org.ar/home/shop/checkout/order-received/47171/?key=wc_order_frfekTpP7RZ3y</t>
  </si>
  <si>
    <t>https://yca.org.ar/home/shop/checkout/order-pay/47171/?pay_for_order=true&amp;key=wc_order_frfekTpP7RZ3y</t>
  </si>
  <si>
    <t>Fermín</t>
  </si>
  <si>
    <t>Vazquez del Campo</t>
  </si>
  <si>
    <t>Cemic</t>
  </si>
  <si>
    <t>Ludmila</t>
  </si>
  <si>
    <t>Rodriguez</t>
  </si>
  <si>
    <t>PJE GUARANI 02480</t>
  </si>
  <si>
    <t>ludmiflorodriguez@gmail.com</t>
  </si>
  <si>
    <t>https://yca.org.ar/home/shop/checkout/order-received/47173/?key=wc_order_WNZFF03L7t2wn</t>
  </si>
  <si>
    <t>https://yca.org.ar/home/shop/checkout/order-pay/47173/?pay_for_order=true&amp;key=wc_order_WNZFF03L7t2wn</t>
  </si>
  <si>
    <t>Poseidon</t>
  </si>
  <si>
    <t>Pattarini</t>
  </si>
  <si>
    <t>Smg20</t>
  </si>
  <si>
    <t>https://yca.org.ar/home/shop/checkout/order-received/47175/?key=wc_order_BKrFtNbjXQ8B8</t>
  </si>
  <si>
    <t>https://yca.org.ar/home/shop/checkout/order-pay/47175/?pay_for_order=true&amp;key=wc_order_BKrFtNbjXQ8B8</t>
  </si>
  <si>
    <t>José</t>
  </si>
  <si>
    <t>FRANCISCO</t>
  </si>
  <si>
    <t>HARIRI</t>
  </si>
  <si>
    <t>Tucuman 1484 Piso 4 C</t>
  </si>
  <si>
    <t>Cspital Federal</t>
  </si>
  <si>
    <t>https://yca.org.ar/home/shop/checkout/order-received/47181/?key=wc_order_j1pn5wM7FD9bD</t>
  </si>
  <si>
    <t>https://yca.org.ar/home/shop/checkout/order-pay/47181/?pay_for_order=true&amp;key=wc_order_j1pn5wM7FD9bD</t>
  </si>
  <si>
    <t>Sebastian Pablo</t>
  </si>
  <si>
    <t>Fenn</t>
  </si>
  <si>
    <t>Eva Peron 1591</t>
  </si>
  <si>
    <t>sebastianfenn@hotmail.com</t>
  </si>
  <si>
    <t>https://yca.org.ar/home/shop/checkout/order-received/47182/?key=wc_order_3hbPR4prqypnB</t>
  </si>
  <si>
    <t>https://yca.org.ar/home/shop/checkout/order-pay/47182/?pay_for_order=true&amp;key=wc_order_3hbPR4prqypnB</t>
  </si>
  <si>
    <t>Ignacio Fenn</t>
  </si>
  <si>
    <t>Rocamora</t>
  </si>
  <si>
    <t>agustinmoreno@gmail.com</t>
  </si>
  <si>
    <t>https://yca.org.ar/home/shop/checkout/order-received/47185/?key=wc_order_wBcu1s1sXDGxE</t>
  </si>
  <si>
    <t>https://yca.org.ar/home/shop/checkout/order-pay/47185/?pay_for_order=true&amp;key=wc_order_wBcu1s1sXDGxE</t>
  </si>
  <si>
    <t>Simona Moreno</t>
  </si>
  <si>
    <t>PREVENCION SALUD</t>
  </si>
  <si>
    <t>federico</t>
  </si>
  <si>
    <t>rhodius</t>
  </si>
  <si>
    <t>de las azaleas 15</t>
  </si>
  <si>
    <t>frhodius@hotmail.com</t>
  </si>
  <si>
    <t>https://yca.org.ar/home/shop/checkout/order-received/47189/?key=wc_order_Ph4a9JROvJpFT</t>
  </si>
  <si>
    <t>https://yca.org.ar/home/shop/checkout/order-pay/47189/?pay_for_order=true&amp;key=wc_order_Ph4a9JROvJpFT</t>
  </si>
  <si>
    <t>OPTIMIST</t>
  </si>
  <si>
    <t>Rhodius</t>
  </si>
  <si>
    <t>https://yca.org.ar/home/shop/checkout/order-received/47191/?key=wc_order_KC03x1PKPOfWv</t>
  </si>
  <si>
    <t>https://yca.org.ar/home/shop/checkout/order-pay/47191/?pay_for_order=true&amp;key=wc_order_KC03x1PKPOfWv</t>
  </si>
  <si>
    <t>Adlercreutz</t>
  </si>
  <si>
    <t>Vicente LÃ³pez 1828</t>
  </si>
  <si>
    <t>4to</t>
  </si>
  <si>
    <t>martin@adlercreutz.org</t>
  </si>
  <si>
    <t>https://yca.org.ar/producto/sba-optimist-timoneles/</t>
  </si>
  <si>
    <t>https://yca.org.ar/home/shop/checkout/order-pay/47193/?pay_for_order=true&amp;key=wc_order_OnkZGRakcqSnL</t>
  </si>
  <si>
    <t>Inés</t>
  </si>
  <si>
    <t>Qualitas</t>
  </si>
  <si>
    <t>Alberto</t>
  </si>
  <si>
    <t>Hanono</t>
  </si>
  <si>
    <t>Azcuenaga 2234</t>
  </si>
  <si>
    <t>albertohanono@gmail.com</t>
  </si>
  <si>
    <t>https://yca.org.ar/home/shop/checkout/order-received/47195/?key=wc_order_80I22fiExhR4V</t>
  </si>
  <si>
    <t>https://yca.org.ar/home/shop/checkout/order-pay/47195/?pay_for_order=true&amp;key=wc_order_80I22fiExhR4V</t>
  </si>
  <si>
    <t>Omin</t>
  </si>
  <si>
    <t>JUAN DE Paz</t>
  </si>
  <si>
    <t>9 de Julio 410</t>
  </si>
  <si>
    <t>B2800</t>
  </si>
  <si>
    <t>alejdepaz@gmail.com</t>
  </si>
  <si>
    <t>https://yca.org.ar/home/shop/checkout/order-received/47206/?key=wc_order_HZ2FKSLWXlDrf</t>
  </si>
  <si>
    <t>https://yca.org.ar/home/shop/checkout/order-pay/47206/?pay_for_order=true&amp;key=wc_order_HZ2FKSLWXlDrf</t>
  </si>
  <si>
    <t>Supra</t>
  </si>
  <si>
    <t>Ciro</t>
  </si>
  <si>
    <t>Juan de Paz</t>
  </si>
  <si>
    <t>Castellano</t>
  </si>
  <si>
    <t>Lote 23 Manz 65</t>
  </si>
  <si>
    <t>euge.castellano87@gmail.com</t>
  </si>
  <si>
    <t>https://yca.org.ar/home/shop/checkout/order-received/47207/?key=wc_order_wnrZ5oPZMkUoS</t>
  </si>
  <si>
    <t>https://yca.org.ar/home/shop/checkout/order-pay/47207/?pay_for_order=true&amp;key=wc_order_wnrZ5oPZMkUoS</t>
  </si>
  <si>
    <t>Pto. del Aguila</t>
  </si>
  <si>
    <t>Guillermina</t>
  </si>
  <si>
    <t>Di Cristófano</t>
  </si>
  <si>
    <t>euge.castellan87@gmail.com</t>
  </si>
  <si>
    <t>https://yca.org.ar/home/shop/checkout/order-received/47211/?key=wc_order_xGht1b8LR7YLE</t>
  </si>
  <si>
    <t>https://yca.org.ar/home/shop/checkout/order-pay/47211/?pay_for_order=true&amp;key=wc_order_xGht1b8LR7YLE</t>
  </si>
  <si>
    <t>Mirey</t>
  </si>
  <si>
    <t>Luis Agote 679</t>
  </si>
  <si>
    <t>marcelomirey@hotmail.com</t>
  </si>
  <si>
    <t>https://yca.org.ar/home/shop/checkout/order-received/47217/?key=wc_order_Oj9GRrUahRtj1</t>
  </si>
  <si>
    <t>https://yca.org.ar/home/shop/checkout/order-pay/47217/?pay_for_order=true&amp;key=wc_order_Oj9GRrUahRtj1</t>
  </si>
  <si>
    <t>https://yca.org.ar/home/shop/checkout/order-received/47221/?key=wc_order_GHHPKuvfnrsuy</t>
  </si>
  <si>
    <t>https://yca.org.ar/home/shop/checkout/order-pay/47221/?pay_for_order=true&amp;key=wc_order_GHHPKuvfnrsuy</t>
  </si>
  <si>
    <t>Juan Francisco</t>
  </si>
  <si>
    <t>Adrian</t>
  </si>
  <si>
    <t>Cella</t>
  </si>
  <si>
    <t>Ruta 5 km 66</t>
  </si>
  <si>
    <t>Villa ciudad parque</t>
  </si>
  <si>
    <t>icarolinaalassia@gmail.com</t>
  </si>
  <si>
    <t>https://yca.org.ar/home/shop/checkout/order-pay/47222/?pay_for_order=true&amp;key=wc_order_3PDk9ndQ8gAS9</t>
  </si>
  <si>
    <t>CNSA</t>
  </si>
  <si>
    <t>Ivana Carolina</t>
  </si>
  <si>
    <t>Alassia</t>
  </si>
  <si>
    <t>https://yca.org.ar/home/shop/checkout/order-received/47225/?key=wc_order_bxVGqBuMTPyLK</t>
  </si>
  <si>
    <t>https://yca.org.ar/home/shop/checkout/order-pay/47225/?pay_for_order=true&amp;key=wc_order_bxVGqBuMTPyLK</t>
  </si>
  <si>
    <t>Vito</t>
  </si>
  <si>
    <t>MARIA LAURA</t>
  </si>
  <si>
    <t>BARISSI</t>
  </si>
  <si>
    <t>san juan 2473</t>
  </si>
  <si>
    <t>SANTA FE</t>
  </si>
  <si>
    <t>laurabarissi@hotmail.com</t>
  </si>
  <si>
    <t>https://yca.org.ar/home/shop/checkout/order-received/47230/?key=wc_order_KP4xhop8ORo4Q</t>
  </si>
  <si>
    <t>https://yca.org.ar/home/shop/checkout/order-pay/47230/?pay_for_order=true&amp;key=wc_order_KP4xhop8ORo4Q</t>
  </si>
  <si>
    <t>SN</t>
  </si>
  <si>
    <t>Maria Victoria</t>
  </si>
  <si>
    <t>Callegari</t>
  </si>
  <si>
    <t>https://yca.org.ar/home/shop/checkout/order-received/47240/?key=wc_order_b2EgQBskGQHJd</t>
  </si>
  <si>
    <t>https://yca.org.ar/home/shop/checkout/order-pay/47240/?pay_for_order=true&amp;key=wc_order_b2EgQBskGQHJd</t>
  </si>
  <si>
    <t>EOLO</t>
  </si>
  <si>
    <t>https://yca.org.ar/home/shop/checkout/order-received/47242/?key=wc_order_ms1BjMgwJgG94</t>
  </si>
  <si>
    <t>https://yca.org.ar/home/shop/checkout/order-pay/47242/?pay_for_order=true&amp;key=wc_order_ms1BjMgwJgG94</t>
  </si>
  <si>
    <t>Gisela</t>
  </si>
  <si>
    <t>Ben</t>
  </si>
  <si>
    <t>Cordoba 450, Villa ConstituciÃ³n</t>
  </si>
  <si>
    <t>Villa Constitucion</t>
  </si>
  <si>
    <t>arqgiselaben@gmail.com</t>
  </si>
  <si>
    <t>https://yca.org.ar/home/shop/checkout/order-received/47244/?key=wc_order_5NTdYtAqmHRY2</t>
  </si>
  <si>
    <t>https://yca.org.ar/home/shop/checkout/order-pay/47244/?pay_for_order=true&amp;key=wc_order_5NTdYtAqmHRY2</t>
  </si>
  <si>
    <t>AOA / RRC</t>
  </si>
  <si>
    <t>Vesperini</t>
  </si>
  <si>
    <t>mutual acindar</t>
  </si>
  <si>
    <t>Esteban</t>
  </si>
  <si>
    <t>Micelotta</t>
  </si>
  <si>
    <t>calle 27 N1526</t>
  </si>
  <si>
    <t>silhurti2@gmail.com</t>
  </si>
  <si>
    <t>https://yca.org.ar/home/shop/checkout/order-received/47245/?key=wc_order_XifwlwqRY1c2B</t>
  </si>
  <si>
    <t>https://yca.org.ar/home/shop/checkout/order-pay/47245/?pay_for_order=true&amp;key=wc_order_XifwlwqRY1c2B</t>
  </si>
  <si>
    <t>https://yca.org.ar/home/shop/checkout/order-received/47251/?key=wc_order_Kv6wQutBbneu3</t>
  </si>
  <si>
    <t>https://yca.org.ar/home/shop/checkout/order-pay/47251/?pay_for_order=true&amp;key=wc_order_Kv6wQutBbneu3</t>
  </si>
  <si>
    <t>Pancho</t>
  </si>
  <si>
    <t>Amador</t>
  </si>
  <si>
    <t>CÃ³rdoba</t>
  </si>
  <si>
    <t>Pago en el Club (#47207)</t>
  </si>
  <si>
    <t>https://yca.org.ar/home/shop/checkout/order-received/47256/?key=wc_order_Fr0Mp1yfyEMU2</t>
  </si>
  <si>
    <t>https://yca.org.ar/home/shop/checkout/order-pay/47256/?pay_for_order=true&amp;key=wc_order_Fr0Mp1yfyEMU2</t>
  </si>
  <si>
    <t>Cande</t>
  </si>
  <si>
    <t>Candelaria</t>
  </si>
  <si>
    <t>Tizi</t>
  </si>
  <si>
    <t>Ituzaingo 351</t>
  </si>
  <si>
    <t>carinaveronicatizi@gmail.com</t>
  </si>
  <si>
    <t>https://yca.org.ar/home/shop/checkout/order-received/47258/?key=wc_order_o01fuyOHkLG30</t>
  </si>
  <si>
    <t>https://yca.org.ar/home/shop/checkout/order-pay/47258/?pay_for_order=true&amp;key=wc_order_o01fuyOHkLG30</t>
  </si>
  <si>
    <t>Lezana</t>
  </si>
  <si>
    <t>Villamarin</t>
  </si>
  <si>
    <t>Av libertador 17438</t>
  </si>
  <si>
    <t>villamarinramiro@gmail.com</t>
  </si>
  <si>
    <t>https://yca.org.ar/home/shop/checkout/order-received/47259/?key=wc_order_WahXFnCHvoDmQ</t>
  </si>
  <si>
    <t>https://yca.org.ar/home/shop/checkout/order-pay/47259/?pay_for_order=true&amp;key=wc_order_WahXFnCHvoDmQ</t>
  </si>
  <si>
    <t>Ema</t>
  </si>
  <si>
    <t>Bracco</t>
  </si>
  <si>
    <t>Acassuso 1965</t>
  </si>
  <si>
    <t>abracco@mac.com</t>
  </si>
  <si>
    <t>https://yca.org.ar/home/shop/checkout/order-received/47263/?key=wc_order_OalNCxlEJNjmt</t>
  </si>
  <si>
    <t>https://yca.org.ar/home/shop/checkout/order-pay/47263/?pay_for_order=true&amp;key=wc_order_OalNCxlEJNjmt</t>
  </si>
  <si>
    <t>w</t>
  </si>
  <si>
    <t>Justo</t>
  </si>
  <si>
    <t>Lorena</t>
  </si>
  <si>
    <t>Guardati</t>
  </si>
  <si>
    <t>Ayacucho 2287</t>
  </si>
  <si>
    <t>lorena.guardati@gmail.com</t>
  </si>
  <si>
    <t>https://yca.org.ar/home/shop/checkout/order-received/47265/?key=wc_order_yJyG4QToMkzfI</t>
  </si>
  <si>
    <t>https://yca.org.ar/home/shop/checkout/order-pay/47265/?pay_for_order=true&amp;key=wc_order_yJyG4QToMkzfI</t>
  </si>
  <si>
    <t>Alfonso Guardati</t>
  </si>
  <si>
    <t>Ale</t>
  </si>
  <si>
    <t>Tesone</t>
  </si>
  <si>
    <t>Juncal 2179</t>
  </si>
  <si>
    <t>altesone@hotmail.com</t>
  </si>
  <si>
    <t>https://yca.org.ar/home/shop/checkout/order-pay/47271/?pay_for_order=true&amp;key=wc_order_eiZ8QpYb2olPU</t>
  </si>
  <si>
    <t>Hosp Aleman</t>
  </si>
  <si>
    <t>Morgenstern</t>
  </si>
  <si>
    <t>Congreso 1661</t>
  </si>
  <si>
    <t>14 A</t>
  </si>
  <si>
    <t>Argentina</t>
  </si>
  <si>
    <t>laspenelopes@hotmail.com</t>
  </si>
  <si>
    <t>https://yca.org.ar/home/shop/checkout/order-received/47278/?key=wc_order_sIUwOlNL3jwOL</t>
  </si>
  <si>
    <t>https://yca.org.ar/home/shop/checkout/order-pay/47278/?pay_for_order=true&amp;key=wc_order_sIUwOlNL3jwOL</t>
  </si>
  <si>
    <t>Joaquina</t>
  </si>
  <si>
    <t>Loureyro Morgenstern</t>
  </si>
  <si>
    <t>Zorraquin</t>
  </si>
  <si>
    <t>Constituyentes</t>
  </si>
  <si>
    <t>gzorraquin@gmail.com</t>
  </si>
  <si>
    <t>https://yca.org.ar/home/shop/checkout/order-received/47284/?key=wc_order_vb705EnmDDKni</t>
  </si>
  <si>
    <t>https://yca.org.ar/home/shop/checkout/order-pay/47284/?pay_for_order=true&amp;key=wc_order_vb705EnmDDKni</t>
  </si>
  <si>
    <t>https://yca.org.ar/home/shop/checkout/order-received/47289/?key=wc_order_Q1UZfnuZfqwgQ</t>
  </si>
  <si>
    <t>https://yca.org.ar/home/shop/checkout/order-pay/47289/?pay_for_order=true&amp;key=wc_order_Q1UZfnuZfqwgQ</t>
  </si>
  <si>
    <t>Javier Ignacio</t>
  </si>
  <si>
    <t>Padilla</t>
  </si>
  <si>
    <t>Caseros 1034</t>
  </si>
  <si>
    <t>javierignaciopadilla@gmail.com</t>
  </si>
  <si>
    <t>https://yca.org.ar/wc-api/WC_WooMercadoPago_Custom_Gateway/?data.id=179361435135&amp;source_news=webhook&amp;type=payment</t>
  </si>
  <si>
    <t>https://yca.org.ar/home/shop/checkout/order-pay/47293/?pay_for_order=true&amp;key=wc_order_LizENbFN1VSbR</t>
  </si>
  <si>
    <t>OSDE 210 61 728138 5 04</t>
  </si>
  <si>
    <t>Diaz</t>
  </si>
  <si>
    <t>Pueyrredon 1780</t>
  </si>
  <si>
    <t>Palerml</t>
  </si>
  <si>
    <t>mdiazcisneros2019@gmail.com.ar</t>
  </si>
  <si>
    <t>https://yca.org.ar/home/shop/checkout/order-received/47298/?key=wc_order_hAkGq4ALaicce</t>
  </si>
  <si>
    <t>https://yca.org.ar/home/shop/checkout/order-pay/47298/?pay_for_order=true&amp;key=wc_order_hAkGq4ALaicce</t>
  </si>
  <si>
    <t>Lucero Schmidt</t>
  </si>
  <si>
    <t>GutiÃ©rrez</t>
  </si>
  <si>
    <t>Calle 6 151</t>
  </si>
  <si>
    <t>duke_jimegutierrez@hotmail.com</t>
  </si>
  <si>
    <t>https://yca.org.ar/home/shop/checkout/order-pay/47306/?pay_for_order=true&amp;key=wc_order_2axwJXstBxhWn</t>
  </si>
  <si>
    <t>Valentina</t>
  </si>
  <si>
    <t>Giannuzzi</t>
  </si>
  <si>
    <t>Sarmiento 3831</t>
  </si>
  <si>
    <t>politoag@hotmail.com</t>
  </si>
  <si>
    <t>https://yca.org.ar/home/shop/checkout/order-received/47313/?key=wc_order_U7bwWw2LilRU9</t>
  </si>
  <si>
    <t>https://yca.org.ar/home/shop/checkout/order-pay/47313/?pay_for_order=true&amp;key=wc_order_U7bwWw2LilRU9</t>
  </si>
  <si>
    <t>Caranti</t>
  </si>
  <si>
    <t>Talcahuano 716</t>
  </si>
  <si>
    <t>jlcaranti@yahoo.com.ar</t>
  </si>
  <si>
    <t>https://yca.org.ar/home/shop/checkout/order-received/47329/?key=wc_order_rWknZfHvMeXkN</t>
  </si>
  <si>
    <t>https://yca.org.ar/home/shop/checkout/order-pay/47329/?pay_for_order=true&amp;key=wc_order_rWknZfHvMeXkN</t>
  </si>
  <si>
    <t>carantiisabel@gmail.com</t>
  </si>
  <si>
    <t>Maria de los Milagros</t>
  </si>
  <si>
    <t>Robinson</t>
  </si>
  <si>
    <t>Blanco Encalada 967</t>
  </si>
  <si>
    <t>robinson.milagros82@gmail.com</t>
  </si>
  <si>
    <t>https://yca.org.ar/home/shop/checkout/order-received/47343/?key=wc_order_x1wQJZG8iZX1p</t>
  </si>
  <si>
    <t>https://yca.org.ar/home/shop/checkout/order-pay/47343/?pay_for_order=true&amp;key=wc_order_x1wQJZG8iZX1p</t>
  </si>
  <si>
    <t>nc</t>
  </si>
  <si>
    <t>Silva Robinson</t>
  </si>
  <si>
    <t>Liliana</t>
  </si>
  <si>
    <t>PeÃ±afort</t>
  </si>
  <si>
    <t>Manuel ugarte 2393</t>
  </si>
  <si>
    <t>lilipenafort76@gmail.com</t>
  </si>
  <si>
    <t>https://yca.org.ar/wc-api/WC_WooMercadoPago_Custom_Gateway/?data.id=180386527754&amp;source_news=webhook&amp;type=payment</t>
  </si>
  <si>
    <t>https://yca.org.ar/home/shop/checkout/order-pay/47353/?pay_for_order=true&amp;key=wc_order_D40xRQzhBpBNA</t>
  </si>
  <si>
    <t>Alma</t>
  </si>
  <si>
    <t>Plou Peñafort</t>
  </si>
  <si>
    <t>Gotelli</t>
  </si>
  <si>
    <t>gotellifernando94@gmail.com</t>
  </si>
  <si>
    <t>https://yca.org.ar/home/shop/checkout/order-received/47365/?key=wc_order_Xh0IlJmrJgfyl</t>
  </si>
  <si>
    <t>https://yca.org.ar/home/shop/checkout/order-pay/47365/?pay_for_order=true&amp;key=wc_order_Xh0IlJmrJgfyl</t>
  </si>
  <si>
    <t>Delfina Eva</t>
  </si>
  <si>
    <t>Roy</t>
  </si>
  <si>
    <t>Sly</t>
  </si>
  <si>
    <t>Albarellos 1543</t>
  </si>
  <si>
    <t>roysly@gmail.com</t>
  </si>
  <si>
    <t>https://yca.org.ar/wc-api/WC_WooMercadoPago_Custom_Gateway/?data.id=180410944860&amp;source_news=webhook&amp;type=payment</t>
  </si>
  <si>
    <t>https://yca.org.ar/home/shop/checkout/order-pay/47372/?pay_for_order=true&amp;key=wc_order_7p0CjM4dZ9ibL</t>
  </si>
  <si>
    <t>Quinto Elemento</t>
  </si>
  <si>
    <t>Ian</t>
  </si>
  <si>
    <t>UniÃ³n Personal</t>
  </si>
  <si>
    <t>Rolando</t>
  </si>
  <si>
    <t>Musumeci</t>
  </si>
  <si>
    <t>Entre rÃ­os 1830</t>
  </si>
  <si>
    <t>rolomusu@gmail.com</t>
  </si>
  <si>
    <t>https://yca.org.ar/home/shop/checkout/order-received/47374/?key=wc_order_WUPFFRX5E7B6C</t>
  </si>
  <si>
    <t>https://yca.org.ar/home/shop/checkout/order-pay/47374/?pay_for_order=true&amp;key=wc_order_WUPFFRX5E7B6C</t>
  </si>
  <si>
    <t>Lucía</t>
  </si>
  <si>
    <t>MarÃ­a Laura</t>
  </si>
  <si>
    <t>Mansilla</t>
  </si>
  <si>
    <t>125 nro 80</t>
  </si>
  <si>
    <t>la plata</t>
  </si>
  <si>
    <t>mansilla_laura@hotmail.com</t>
  </si>
  <si>
    <t>https://yca.org.ar/home/shop/checkout/order-received/47378/?key=wc_order_pryGT7fM5yWmF</t>
  </si>
  <si>
    <t>https://yca.org.ar/home/shop/checkout/order-pay/47378/?pay_for_order=true&amp;key=wc_order_pryGT7fM5yWmF</t>
  </si>
  <si>
    <t>Pini</t>
  </si>
  <si>
    <t>maria carla</t>
  </si>
  <si>
    <t>pagani</t>
  </si>
  <si>
    <t>MartÃ­n Fierro 624</t>
  </si>
  <si>
    <t>carlapagani@yahoo.com</t>
  </si>
  <si>
    <t>https://yca.org.ar/wc-api/WC_WooMercadoPago_Custom_Gateway/?data.id=180419879324&amp;source_news=webhook&amp;type=payment</t>
  </si>
  <si>
    <t>https://yca.org.ar/home/shop/checkout/order-pay/47379/?pay_for_order=true&amp;key=wc_order_cdfRDBixzhZJ2</t>
  </si>
  <si>
    <t>Menoyo Pagani</t>
  </si>
  <si>
    <t>IAPOS-OSUNR</t>
  </si>
  <si>
    <t>Elisa</t>
  </si>
  <si>
    <t>Deschamps</t>
  </si>
  <si>
    <t>Pago en el Club (#47370)</t>
  </si>
  <si>
    <t>https://yca.org.ar/home/shop/checkout/order-received/47382/?key=wc_order_1cap5UeazaI2X</t>
  </si>
  <si>
    <t>https://yca.org.ar/home/shop/checkout/order-pay/47382/?pay_for_order=true&amp;key=wc_order_1cap5UeazaI2X</t>
  </si>
  <si>
    <t>Bruna</t>
  </si>
  <si>
    <t>Gori</t>
  </si>
  <si>
    <t>ramirogori1@gmail.com</t>
  </si>
  <si>
    <t>https://yca.org.ar/home/shop/checkout/order-received/47383/?key=wc_order_LgeMrE394OKxE</t>
  </si>
  <si>
    <t>https://yca.org.ar/home/shop/checkout/order-pay/47383/?pay_for_order=true&amp;key=wc_order_LgeMrE394OKxE</t>
  </si>
  <si>
    <t>Lorenzo</t>
  </si>
  <si>
    <t>https://yca.org.ar/home/shop/checkout/order-received/47384/?key=wc_order_W1cbNRezMftRV</t>
  </si>
  <si>
    <t>https://yca.org.ar/home/shop/checkout/order-pay/47384/?pay_for_order=true&amp;key=wc_order_W1cbNRezMftRV</t>
  </si>
  <si>
    <t>Barrionuevo</t>
  </si>
  <si>
    <t>barrionuevosamuel@gmail.com</t>
  </si>
  <si>
    <t>Capozucca</t>
  </si>
  <si>
    <t>capozuccaignacio@gmail.com</t>
  </si>
  <si>
    <t>3329 663421</t>
  </si>
  <si>
    <t>https://yca.org.ar/home/shop/checkout/order-received/47389/?key=wc_order_fVMTqDDbvD86K</t>
  </si>
  <si>
    <t>https://yca.org.ar/home/shop/checkout/order-pay/47389/?pay_for_order=true&amp;key=wc_order_fVMTqDDbvD86K</t>
  </si>
  <si>
    <t>Lis</t>
  </si>
  <si>
    <t>OSECAC</t>
  </si>
  <si>
    <t>Clarisa</t>
  </si>
  <si>
    <t>Di Paolo</t>
  </si>
  <si>
    <t>https://yca.org.ar/home/shop/checkout/order-received/47426/?key=wc_order_KlDAWZSliA58r</t>
  </si>
  <si>
    <t>https://yca.org.ar/home/shop/checkout/order-pay/47426/?pay_for_order=true&amp;key=wc_order_KlDAWZSliA58r</t>
  </si>
  <si>
    <t>Lema</t>
  </si>
  <si>
    <t>clarisadp@hotmail.com</t>
  </si>
  <si>
    <t>Esencial 17394403</t>
  </si>
  <si>
    <t>Barbara</t>
  </si>
  <si>
    <t>Cantillana</t>
  </si>
  <si>
    <t>https://yca.org.ar/home/shop/checkout/order-received/47419/?key=wc_order_yJo7hoJl8vK1k</t>
  </si>
  <si>
    <t>https://yca.org.ar/home/shop/checkout/order-pay/47419/?pay_for_order=true&amp;key=wc_order_yJo7hoJl8vK1k</t>
  </si>
  <si>
    <t>Carlota</t>
  </si>
  <si>
    <t>barbaracantillana@gmail.com</t>
  </si>
  <si>
    <t>Tiscornia</t>
  </si>
  <si>
    <t>atiscornia@arguelaw.com</t>
  </si>
  <si>
    <t>https://yca.org.ar/home/shop/checkout/order-received/47407/?key=wc_order_8glXukj8WzwIU</t>
  </si>
  <si>
    <t>https://yca.org.ar/home/shop/checkout/order-pay/47407/?pay_for_order=true&amp;key=wc_order_8glXukj8WzwIU</t>
  </si>
  <si>
    <t>CEMIC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</si>
</sst>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14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sz val="12.0"/>
      <color theme="1"/>
      <name val="Calibri"/>
      <scheme val="minor"/>
    </font>
    <font>
      <sz val="13.0"/>
      <color theme="1"/>
      <name val="Calibri"/>
      <scheme val="minor"/>
    </font>
    <font>
      <b/>
      <sz val="12.0"/>
      <color rgb="FFFFFFFF"/>
      <name val="Calibri"/>
    </font>
    <font>
      <sz val="13.0"/>
      <color theme="1"/>
      <name val="Calibri"/>
    </font>
    <font>
      <b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45F06"/>
        <bgColor rgb="FFB45F06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center"/>
    </xf>
    <xf borderId="0" fillId="2" fontId="5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right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4" fontId="8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5" fontId="9" numFmtId="0" xfId="0" applyAlignment="1" applyFill="1" applyFont="1">
      <alignment horizontal="center" readingOrder="0" vertical="center"/>
    </xf>
    <xf borderId="0" fillId="0" fontId="10" numFmtId="22" xfId="0" applyAlignment="1" applyFont="1" applyNumberFormat="1">
      <alignment vertical="center"/>
    </xf>
    <xf borderId="0" fillId="0" fontId="2" numFmtId="9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0"/>
    </xf>
    <xf borderId="0" fillId="0" fontId="2" numFmtId="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8" xfId="0" applyAlignment="1" applyFont="1" applyNumberFormat="1">
      <alignment vertical="center"/>
    </xf>
    <xf borderId="0" fillId="0" fontId="10" numFmtId="164" xfId="0" applyAlignment="1" applyFont="1" applyNumberForma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righ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22" xfId="0" applyAlignment="1" applyFont="1" applyNumberFormat="1">
      <alignment horizontal="right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165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7" numFmtId="166" xfId="0" applyAlignment="1" applyFont="1" applyNumberFormat="1">
      <alignment horizontal="center" readingOrder="0" vertical="center"/>
    </xf>
    <xf borderId="0" fillId="7" fontId="7" numFmtId="0" xfId="0" applyAlignment="1" applyFill="1" applyFont="1">
      <alignment readingOrder="0" vertical="center"/>
    </xf>
    <xf borderId="0" fillId="7" fontId="7" numFmtId="0" xfId="0" applyAlignment="1" applyFill="1" applyFont="1">
      <alignment horizontal="center" readingOrder="0" vertical="center"/>
    </xf>
    <xf borderId="0" fillId="8" fontId="7" numFmtId="0" xfId="0" applyAlignment="1" applyFill="1" applyFont="1">
      <alignment readingOrder="0" vertical="center"/>
    </xf>
    <xf borderId="0" fillId="8" fontId="7" numFmtId="0" xfId="0" applyAlignment="1" applyFill="1" applyFont="1">
      <alignment horizontal="center" vertical="center"/>
    </xf>
    <xf borderId="0" fillId="0" fontId="11" numFmtId="22" xfId="0" applyAlignment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ca.org.ar/home/shop/checkout/order-received/47407/?key=wc_order_8glXukj8WzwIU" TargetMode="External"/><Relationship Id="rId10" Type="http://schemas.openxmlformats.org/officeDocument/2006/relationships/hyperlink" Target="https://yca.org.ar/home/shop/checkout/order-pay/47419/?pay_for_order=true&amp;key=wc_order_yJo7hoJl8vK1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yca.org.ar/home/shop/checkout/order-pay/47407/?pay_for_order=true&amp;key=wc_order_8glXukj8WzwIU" TargetMode="External"/><Relationship Id="rId1" Type="http://schemas.openxmlformats.org/officeDocument/2006/relationships/hyperlink" Target="https://yca.org.ar/home/shop/checkout/order-received/47441/?key=wc_order_4lgXS9ZLWqfJK" TargetMode="External"/><Relationship Id="rId2" Type="http://schemas.openxmlformats.org/officeDocument/2006/relationships/hyperlink" Target="https://yca.org.ar/home/shop/checkout/order-pay/47441/?pay_for_order=true&amp;key=wc_order_4lgXS9ZLWqfJK" TargetMode="External"/><Relationship Id="rId3" Type="http://schemas.openxmlformats.org/officeDocument/2006/relationships/hyperlink" Target="https://yca.org.ar/home/shop/checkout/order-received/47446/?key=wc_order_nfqMNHyEaOJUs" TargetMode="External"/><Relationship Id="rId4" Type="http://schemas.openxmlformats.org/officeDocument/2006/relationships/hyperlink" Target="https://yca.org.ar/home/shop/checkout/order-pay/47446/?pay_for_order=true&amp;key=wc_order_nfqMNHyEaOJUs" TargetMode="External"/><Relationship Id="rId9" Type="http://schemas.openxmlformats.org/officeDocument/2006/relationships/hyperlink" Target="https://yca.org.ar/home/shop/checkout/order-received/47419/?key=wc_order_yJo7hoJl8vK1k" TargetMode="External"/><Relationship Id="rId5" Type="http://schemas.openxmlformats.org/officeDocument/2006/relationships/hyperlink" Target="https://yca.org.ar/home/shop/checkout/order-received/47438/?key=wc_order_SUKJIj3708PXN" TargetMode="External"/><Relationship Id="rId6" Type="http://schemas.openxmlformats.org/officeDocument/2006/relationships/hyperlink" Target="https://yca.org.ar/home/shop/checkout/order-pay/47438/?pay_for_order=true&amp;key=wc_order_SUKJIj3708PXN" TargetMode="External"/><Relationship Id="rId7" Type="http://schemas.openxmlformats.org/officeDocument/2006/relationships/hyperlink" Target="https://yca.org.ar/home/shop/checkout/order-received/47426/?key=wc_order_KlDAWZSliA58r" TargetMode="External"/><Relationship Id="rId8" Type="http://schemas.openxmlformats.org/officeDocument/2006/relationships/hyperlink" Target="https://yca.org.ar/home/shop/checkout/order-pay/47426/?pay_for_order=true&amp;key=wc_order_KlDAWZSliA58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8.29"/>
    <col customWidth="1" min="3" max="3" width="11.0"/>
    <col customWidth="1" min="4" max="4" width="10.0"/>
    <col customWidth="1" hidden="1" min="5" max="5" width="12.71"/>
    <col customWidth="1" min="6" max="6" width="15.14"/>
    <col customWidth="1" min="7" max="7" width="7.29"/>
    <col customWidth="1" hidden="1" min="8" max="8" width="10.71"/>
    <col customWidth="1" min="9" max="9" width="7.43"/>
    <col customWidth="1" hidden="1" min="10" max="10" width="10.43"/>
    <col customWidth="1" hidden="1" min="11" max="11" width="10.86"/>
    <col customWidth="1" hidden="1" min="12" max="12" width="16.0"/>
    <col customWidth="1" hidden="1" min="13" max="13" width="16.43"/>
    <col customWidth="1" hidden="1" min="14" max="14" width="9.71"/>
    <col customWidth="1" hidden="1" min="15" max="15" width="14.29"/>
    <col customWidth="1" hidden="1" min="16" max="16" width="21.29"/>
    <col customWidth="1" hidden="1" min="17" max="17" width="20.29"/>
    <col customWidth="1" hidden="1" min="18" max="18" width="17.14"/>
    <col customWidth="1" hidden="1" min="19" max="19" width="45.0"/>
    <col customWidth="1" hidden="1" min="20" max="20" width="28.0"/>
    <col customWidth="1" hidden="1" min="21" max="21" width="33.0"/>
    <col customWidth="1" hidden="1" min="22" max="22" width="13.57"/>
    <col customWidth="1" hidden="1" min="23" max="23" width="17.29"/>
    <col customWidth="1" hidden="1" min="24" max="24" width="15.86"/>
    <col customWidth="1" hidden="1" min="25" max="25" width="39.86"/>
    <col customWidth="1" hidden="1" min="26" max="26" width="17.86"/>
    <col customWidth="1" hidden="1" min="27" max="27" width="57.43"/>
    <col customWidth="1" hidden="1" min="28" max="28" width="16.71"/>
    <col customWidth="1" hidden="1" min="29" max="29" width="17.86"/>
    <col customWidth="1" hidden="1" min="30" max="30" width="16.0"/>
    <col customWidth="1" hidden="1" min="31" max="31" width="121.14"/>
    <col customWidth="1" hidden="1" min="32" max="32" width="106.0"/>
    <col customWidth="1" hidden="1" min="33" max="33" width="19.57"/>
    <col customWidth="1" hidden="1" min="34" max="34" width="21.0"/>
    <col customWidth="1" hidden="1" min="35" max="35" width="22.43"/>
    <col customWidth="1" hidden="1" min="36" max="36" width="16.57"/>
    <col customWidth="1" hidden="1" min="37" max="37" width="12.86"/>
    <col customWidth="1" min="38" max="38" width="13.14"/>
    <col customWidth="1" min="39" max="39" width="14.0"/>
    <col customWidth="1" min="40" max="40" width="8.57"/>
    <col customWidth="1" hidden="1" min="41" max="41" width="23.71"/>
    <col customWidth="1" min="42" max="42" width="8.43"/>
    <col customWidth="1" min="43" max="43" width="9.29"/>
    <col customWidth="1" hidden="1" min="44" max="44" width="9.86"/>
    <col customWidth="1" min="45" max="45" width="17.71"/>
    <col customWidth="1" min="46" max="46" width="19.71"/>
    <col customWidth="1" min="47" max="47" width="23.71"/>
    <col customWidth="1" hidden="1" min="48" max="48" width="12.71"/>
    <col customWidth="1" hidden="1" min="49" max="49" width="19.0"/>
    <col customWidth="1" hidden="1" min="50" max="50" width="17.43"/>
    <col customWidth="1" hidden="1" min="51" max="51" width="39.71"/>
    <col customWidth="1" min="52" max="52" width="13.86"/>
    <col customWidth="1" hidden="1" min="53" max="53" width="60.86"/>
    <col customWidth="1" hidden="1" min="54" max="54" width="12.14"/>
    <col customWidth="1" hidden="1" min="55" max="55" width="20.43"/>
    <col customWidth="1" hidden="1" min="56" max="56" width="23.57"/>
    <col customWidth="1" hidden="1" min="57" max="57" width="18.29"/>
    <col customWidth="1" hidden="1" min="58" max="58" width="11.57"/>
    <col customWidth="1" hidden="1" min="59" max="59" width="25.0"/>
    <col customWidth="1" hidden="1" min="60" max="60" width="12.14"/>
    <col customWidth="1" hidden="1" min="61" max="61" width="19.29"/>
    <col customWidth="1" hidden="1" min="62" max="62" width="16.0"/>
    <col customWidth="1" hidden="1" min="63" max="63" width="26.43"/>
    <col customWidth="1" hidden="1" min="64" max="64" width="11.43"/>
    <col customWidth="1" hidden="1" min="65" max="65" width="19.71"/>
    <col customWidth="1" hidden="1" min="66" max="66" width="12.86"/>
    <col customWidth="1" hidden="1" min="67" max="67" width="11.43"/>
    <col customWidth="1" hidden="1" min="68" max="68" width="15.43"/>
    <col customWidth="1" hidden="1" min="69" max="69" width="14.71"/>
    <col customWidth="1" hidden="1" min="70" max="70" width="11.43"/>
    <col customWidth="1" hidden="1" min="71" max="71" width="28.43"/>
    <col customWidth="1" hidden="1" min="72" max="72" width="12.86"/>
    <col customWidth="1" hidden="1" min="73" max="73" width="11.43"/>
    <col customWidth="1" hidden="1" min="74" max="74" width="22.14"/>
    <col customWidth="1" hidden="1" min="75" max="75" width="14.0"/>
    <col customWidth="1" hidden="1" min="76" max="76" width="11.43"/>
    <col customWidth="1" hidden="1" min="77" max="77" width="16.71"/>
    <col customWidth="1" hidden="1" min="78" max="78" width="12.86"/>
    <col customWidth="1" hidden="1" min="79" max="79" width="11.43"/>
    <col customWidth="1" hidden="1" min="80" max="81" width="14.0"/>
    <col customWidth="1" hidden="1" min="82" max="82" width="11.43"/>
    <col customWidth="1" hidden="1" min="83" max="83" width="16.71"/>
    <col customWidth="1" hidden="1" min="84" max="84" width="12.86"/>
    <col customWidth="1" hidden="1" min="85" max="85" width="11.43"/>
    <col customWidth="1" hidden="1" min="86" max="87" width="14.0"/>
    <col customWidth="1" hidden="1" min="88" max="88" width="11.43"/>
    <col customWidth="1" hidden="1" min="89" max="89" width="16.71"/>
    <col customWidth="1" hidden="1" min="90" max="90" width="12.86"/>
    <col customWidth="1" hidden="1" min="91" max="91" width="11.43"/>
    <col customWidth="1" hidden="1" min="92" max="93" width="14.0"/>
    <col customWidth="1" hidden="1" min="94" max="94" width="11.43"/>
    <col customWidth="1" hidden="1" min="95" max="95" width="16.71"/>
    <col customWidth="1" hidden="1" min="96" max="96" width="12.86"/>
    <col customWidth="1" hidden="1" min="97" max="97" width="11.43"/>
  </cols>
  <sheetData>
    <row r="1" ht="21.0" customHeight="1">
      <c r="A1" s="2"/>
      <c r="B1" s="5" t="s">
        <v>6</v>
      </c>
      <c r="C1" s="5">
        <f>COUNTIF(C5:C380,"NO")</f>
        <v>125</v>
      </c>
      <c r="D1" s="8">
        <f>G1+G2</f>
        <v>376</v>
      </c>
      <c r="E1" s="8"/>
      <c r="F1" s="9" t="s">
        <v>58</v>
      </c>
      <c r="G1" s="2">
        <v>153.0</v>
      </c>
      <c r="H1" s="8"/>
      <c r="I1" s="12">
        <f>COUNTIFS(C5:C380,"SI",AL5:AL380,"Principiantes")</f>
        <v>106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17">
        <f t="shared" ref="AL1:AL2" si="1">G1-I1</f>
        <v>47</v>
      </c>
      <c r="AM1" s="19">
        <f t="shared" ref="AM1:AM2" si="2">AL1/G1</f>
        <v>0.3071895425</v>
      </c>
      <c r="AN1" s="20" t="s">
        <v>74</v>
      </c>
      <c r="AO1" s="22"/>
      <c r="AP1" s="8"/>
      <c r="AQ1" s="8"/>
      <c r="AR1" s="8"/>
      <c r="AS1" s="8"/>
      <c r="AT1" s="14"/>
      <c r="AU1" s="14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</row>
    <row r="2" ht="21.0" customHeight="1">
      <c r="A2" s="8"/>
      <c r="B2" s="25" t="s">
        <v>1</v>
      </c>
      <c r="C2" s="25">
        <f>COUNTIF(C5:C380,"SI")</f>
        <v>251</v>
      </c>
      <c r="D2" s="26">
        <f>C1/D1</f>
        <v>0.3324468085</v>
      </c>
      <c r="E2" s="8"/>
      <c r="F2" s="9" t="s">
        <v>82</v>
      </c>
      <c r="G2" s="2">
        <v>223.0</v>
      </c>
      <c r="H2" s="8"/>
      <c r="I2" s="12">
        <f>COUNTIFS(C5:C380,"SI",AL5:AL380,"Timoneles")</f>
        <v>145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17">
        <f t="shared" si="1"/>
        <v>78</v>
      </c>
      <c r="AM2" s="19">
        <f t="shared" si="2"/>
        <v>0.3497757848</v>
      </c>
      <c r="AN2" s="20" t="s">
        <v>83</v>
      </c>
      <c r="AO2" s="22"/>
      <c r="AP2" s="8"/>
      <c r="AQ2" s="8"/>
      <c r="AR2" s="8"/>
      <c r="AS2" s="8"/>
      <c r="AT2" s="14"/>
      <c r="AU2" s="14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</row>
    <row r="3">
      <c r="A3" s="8"/>
      <c r="B3" s="8"/>
      <c r="C3" s="8"/>
      <c r="D3" s="8"/>
      <c r="E3" s="8"/>
      <c r="F3" s="2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28"/>
      <c r="AM3" s="16"/>
      <c r="AN3" s="16"/>
      <c r="AO3" s="28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</row>
    <row r="4" ht="18.75" customHeight="1">
      <c r="A4" s="1"/>
      <c r="B4" s="1" t="s">
        <v>0</v>
      </c>
      <c r="C4" s="1" t="s">
        <v>1</v>
      </c>
      <c r="D4" s="3" t="s">
        <v>2</v>
      </c>
      <c r="E4" s="1" t="s">
        <v>3</v>
      </c>
      <c r="F4" s="3" t="s">
        <v>4</v>
      </c>
      <c r="G4" s="4" t="s">
        <v>5</v>
      </c>
      <c r="H4" s="6" t="s">
        <v>7</v>
      </c>
      <c r="I4" s="4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6" t="s">
        <v>35</v>
      </c>
      <c r="AK4" s="6" t="s">
        <v>36</v>
      </c>
      <c r="AL4" s="7" t="s">
        <v>37</v>
      </c>
      <c r="AM4" s="4" t="s">
        <v>38</v>
      </c>
      <c r="AN4" s="4" t="s">
        <v>39</v>
      </c>
      <c r="AO4" s="7" t="s">
        <v>40</v>
      </c>
      <c r="AP4" s="6" t="s">
        <v>41</v>
      </c>
      <c r="AQ4" s="6" t="s">
        <v>42</v>
      </c>
      <c r="AR4" s="6" t="s">
        <v>43</v>
      </c>
      <c r="AS4" s="1" t="s">
        <v>44</v>
      </c>
      <c r="AT4" s="6" t="s">
        <v>45</v>
      </c>
      <c r="AU4" s="6" t="s">
        <v>46</v>
      </c>
      <c r="AV4" s="6" t="s">
        <v>47</v>
      </c>
      <c r="AW4" s="6" t="s">
        <v>48</v>
      </c>
      <c r="AX4" s="6" t="s">
        <v>49</v>
      </c>
      <c r="AY4" s="6" t="s">
        <v>50</v>
      </c>
      <c r="AZ4" s="6" t="s">
        <v>51</v>
      </c>
      <c r="BA4" s="6" t="s">
        <v>52</v>
      </c>
      <c r="BB4" s="6" t="s">
        <v>53</v>
      </c>
      <c r="BC4" s="4" t="s">
        <v>54</v>
      </c>
      <c r="BD4" s="6" t="s">
        <v>45</v>
      </c>
      <c r="BE4" s="6" t="s">
        <v>46</v>
      </c>
      <c r="BF4" s="6" t="s">
        <v>47</v>
      </c>
      <c r="BG4" s="6" t="s">
        <v>52</v>
      </c>
      <c r="BH4" s="6" t="s">
        <v>53</v>
      </c>
      <c r="BI4" s="4" t="s">
        <v>55</v>
      </c>
      <c r="BJ4" s="6" t="s">
        <v>56</v>
      </c>
      <c r="BK4" s="6" t="s">
        <v>46</v>
      </c>
      <c r="BL4" s="6" t="s">
        <v>57</v>
      </c>
      <c r="BM4" s="6" t="s">
        <v>52</v>
      </c>
      <c r="BN4" s="6" t="s">
        <v>53</v>
      </c>
      <c r="BO4" s="6" t="s">
        <v>57</v>
      </c>
      <c r="BP4" s="6" t="s">
        <v>56</v>
      </c>
      <c r="BQ4" s="6" t="s">
        <v>46</v>
      </c>
      <c r="BR4" s="6" t="s">
        <v>57</v>
      </c>
      <c r="BS4" s="6" t="s">
        <v>52</v>
      </c>
      <c r="BT4" s="6" t="s">
        <v>53</v>
      </c>
      <c r="BU4" s="6" t="s">
        <v>57</v>
      </c>
      <c r="BV4" s="6" t="s">
        <v>56</v>
      </c>
      <c r="BW4" s="6" t="s">
        <v>46</v>
      </c>
      <c r="BX4" s="6" t="s">
        <v>57</v>
      </c>
      <c r="BY4" s="6" t="s">
        <v>52</v>
      </c>
      <c r="BZ4" s="6" t="s">
        <v>53</v>
      </c>
      <c r="CA4" s="6" t="s">
        <v>57</v>
      </c>
      <c r="CB4" s="6" t="s">
        <v>56</v>
      </c>
      <c r="CC4" s="6" t="s">
        <v>46</v>
      </c>
      <c r="CD4" s="6" t="s">
        <v>57</v>
      </c>
      <c r="CE4" s="6" t="s">
        <v>52</v>
      </c>
      <c r="CF4" s="6" t="s">
        <v>53</v>
      </c>
      <c r="CG4" s="6" t="s">
        <v>57</v>
      </c>
      <c r="CH4" s="6" t="s">
        <v>56</v>
      </c>
      <c r="CI4" s="6" t="s">
        <v>46</v>
      </c>
      <c r="CJ4" s="6" t="s">
        <v>57</v>
      </c>
      <c r="CK4" s="6" t="s">
        <v>52</v>
      </c>
      <c r="CL4" s="6" t="s">
        <v>53</v>
      </c>
      <c r="CM4" s="6" t="s">
        <v>57</v>
      </c>
      <c r="CN4" s="6" t="s">
        <v>56</v>
      </c>
      <c r="CO4" s="6" t="s">
        <v>46</v>
      </c>
      <c r="CP4" s="6" t="s">
        <v>57</v>
      </c>
      <c r="CQ4" s="6" t="s">
        <v>52</v>
      </c>
      <c r="CR4" s="6" t="s">
        <v>53</v>
      </c>
      <c r="CS4" s="6" t="s">
        <v>57</v>
      </c>
    </row>
    <row r="5" ht="19.5" customHeight="1">
      <c r="A5" s="10" t="b">
        <v>0</v>
      </c>
      <c r="B5" s="11"/>
      <c r="C5" s="13" t="s">
        <v>60</v>
      </c>
      <c r="D5" s="14" t="s">
        <v>60</v>
      </c>
      <c r="E5" s="11"/>
      <c r="F5" s="15" t="s">
        <v>84</v>
      </c>
      <c r="G5" s="16">
        <v>31.0</v>
      </c>
      <c r="H5" s="16"/>
      <c r="I5" s="16">
        <v>46688.0</v>
      </c>
      <c r="J5" s="11" t="s">
        <v>85</v>
      </c>
      <c r="K5" s="11" t="s">
        <v>62</v>
      </c>
      <c r="L5" s="18">
        <v>46271.58052083333</v>
      </c>
      <c r="M5" s="18">
        <v>46271.58053240741</v>
      </c>
      <c r="N5" s="11" t="s">
        <v>63</v>
      </c>
      <c r="O5" s="11">
        <v>0.0</v>
      </c>
      <c r="P5" s="11" t="s">
        <v>86</v>
      </c>
      <c r="Q5" s="11" t="s">
        <v>87</v>
      </c>
      <c r="R5" s="11"/>
      <c r="S5" s="11" t="s">
        <v>88</v>
      </c>
      <c r="T5" s="11" t="s">
        <v>89</v>
      </c>
      <c r="U5" s="11" t="s">
        <v>90</v>
      </c>
      <c r="V5" s="11" t="s">
        <v>68</v>
      </c>
      <c r="W5" s="11">
        <v>1622.0</v>
      </c>
      <c r="X5" s="11" t="s">
        <v>69</v>
      </c>
      <c r="Y5" s="11" t="s">
        <v>91</v>
      </c>
      <c r="Z5" s="11">
        <v>5.491136947841E12</v>
      </c>
      <c r="AA5" s="11" t="s">
        <v>92</v>
      </c>
      <c r="AB5" s="11"/>
      <c r="AC5" s="11"/>
      <c r="AD5" s="11"/>
      <c r="AE5" s="11" t="s">
        <v>93</v>
      </c>
      <c r="AF5" s="11" t="s">
        <v>94</v>
      </c>
      <c r="AG5" s="18">
        <v>46271.70552083333</v>
      </c>
      <c r="AH5" s="18">
        <v>46271.70553240741</v>
      </c>
      <c r="AI5" s="11"/>
      <c r="AJ5" s="11"/>
      <c r="AK5" s="11">
        <v>18234.0</v>
      </c>
      <c r="AL5" s="21" t="s">
        <v>75</v>
      </c>
      <c r="AM5" s="16" t="s">
        <v>95</v>
      </c>
      <c r="AN5" s="16"/>
      <c r="AO5" s="23" t="s">
        <v>96</v>
      </c>
      <c r="AP5" s="16" t="s">
        <v>76</v>
      </c>
      <c r="AQ5" s="16">
        <v>375.0</v>
      </c>
      <c r="AR5" s="16"/>
      <c r="AS5" s="11" t="s">
        <v>97</v>
      </c>
      <c r="AT5" s="11" t="s">
        <v>98</v>
      </c>
      <c r="AU5" s="11" t="s">
        <v>87</v>
      </c>
      <c r="AV5" s="11">
        <v>5.6192502E7</v>
      </c>
      <c r="AW5" s="11" t="s">
        <v>99</v>
      </c>
      <c r="AX5" s="11">
        <v>1.136947841E9</v>
      </c>
      <c r="AY5" s="11" t="s">
        <v>91</v>
      </c>
      <c r="AZ5" s="24">
        <v>42761.0</v>
      </c>
      <c r="BA5" s="11" t="s">
        <v>100</v>
      </c>
      <c r="BB5" s="11" t="s">
        <v>101</v>
      </c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</row>
    <row r="6" ht="19.5" customHeight="1">
      <c r="A6" s="10" t="b">
        <v>0</v>
      </c>
      <c r="B6" s="11"/>
      <c r="C6" s="13" t="s">
        <v>60</v>
      </c>
      <c r="D6" s="14" t="s">
        <v>60</v>
      </c>
      <c r="E6" s="11"/>
      <c r="F6" s="15" t="s">
        <v>84</v>
      </c>
      <c r="G6" s="16">
        <v>70.0</v>
      </c>
      <c r="H6" s="16"/>
      <c r="I6" s="16">
        <v>46777.0</v>
      </c>
      <c r="J6" s="11" t="s">
        <v>85</v>
      </c>
      <c r="K6" s="11" t="s">
        <v>62</v>
      </c>
      <c r="L6" s="18">
        <v>46279.63028935185</v>
      </c>
      <c r="M6" s="18">
        <v>46279.63028935185</v>
      </c>
      <c r="N6" s="11" t="s">
        <v>63</v>
      </c>
      <c r="O6" s="11">
        <v>0.0</v>
      </c>
      <c r="P6" s="11" t="s">
        <v>102</v>
      </c>
      <c r="Q6" s="11" t="s">
        <v>103</v>
      </c>
      <c r="R6" s="11"/>
      <c r="S6" s="11" t="s">
        <v>104</v>
      </c>
      <c r="T6" s="11"/>
      <c r="U6" s="11" t="s">
        <v>105</v>
      </c>
      <c r="V6" s="11" t="s">
        <v>68</v>
      </c>
      <c r="W6" s="11">
        <v>1870.0</v>
      </c>
      <c r="X6" s="11" t="s">
        <v>69</v>
      </c>
      <c r="Y6" s="11" t="s">
        <v>106</v>
      </c>
      <c r="Z6" s="11">
        <v>5.4115001805E11</v>
      </c>
      <c r="AA6" s="11" t="s">
        <v>92</v>
      </c>
      <c r="AB6" s="11"/>
      <c r="AC6" s="11"/>
      <c r="AD6" s="11"/>
      <c r="AE6" s="11" t="s">
        <v>107</v>
      </c>
      <c r="AF6" s="11" t="s">
        <v>108</v>
      </c>
      <c r="AG6" s="18">
        <v>46279.75528935185</v>
      </c>
      <c r="AH6" s="18">
        <v>46279.75528935185</v>
      </c>
      <c r="AI6" s="11"/>
      <c r="AJ6" s="11"/>
      <c r="AK6" s="11">
        <v>18234.0</v>
      </c>
      <c r="AL6" s="21" t="s">
        <v>75</v>
      </c>
      <c r="AM6" s="16" t="s">
        <v>95</v>
      </c>
      <c r="AN6" s="14" t="s">
        <v>39</v>
      </c>
      <c r="AO6" s="23" t="s">
        <v>109</v>
      </c>
      <c r="AP6" s="16" t="s">
        <v>76</v>
      </c>
      <c r="AQ6" s="16">
        <v>3653.0</v>
      </c>
      <c r="AR6" s="16"/>
      <c r="AS6" s="11" t="s">
        <v>110</v>
      </c>
      <c r="AT6" s="11" t="s">
        <v>111</v>
      </c>
      <c r="AU6" s="11" t="s">
        <v>112</v>
      </c>
      <c r="AV6" s="11">
        <v>5.6175862E7</v>
      </c>
      <c r="AW6" s="11" t="s">
        <v>79</v>
      </c>
      <c r="AX6" s="11">
        <v>1.15001805E9</v>
      </c>
      <c r="AY6" s="11" t="s">
        <v>106</v>
      </c>
      <c r="AZ6" s="24">
        <v>42800.0</v>
      </c>
      <c r="BA6" s="11" t="s">
        <v>100</v>
      </c>
      <c r="BB6" s="11" t="s">
        <v>101</v>
      </c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</row>
    <row r="7" ht="19.5" customHeight="1">
      <c r="A7" s="10" t="b">
        <v>0</v>
      </c>
      <c r="B7" s="11"/>
      <c r="C7" s="13" t="s">
        <v>60</v>
      </c>
      <c r="D7" s="14" t="s">
        <v>60</v>
      </c>
      <c r="E7" s="11"/>
      <c r="F7" s="15" t="s">
        <v>84</v>
      </c>
      <c r="G7" s="16">
        <v>83.0</v>
      </c>
      <c r="H7" s="16"/>
      <c r="I7" s="16">
        <v>46793.0</v>
      </c>
      <c r="J7" s="11" t="s">
        <v>85</v>
      </c>
      <c r="K7" s="11" t="s">
        <v>62</v>
      </c>
      <c r="L7" s="18">
        <v>46280.83709490741</v>
      </c>
      <c r="M7" s="18">
        <v>46280.83710648148</v>
      </c>
      <c r="N7" s="11" t="s">
        <v>63</v>
      </c>
      <c r="O7" s="11">
        <v>0.0</v>
      </c>
      <c r="P7" s="11" t="s">
        <v>113</v>
      </c>
      <c r="Q7" s="11" t="s">
        <v>114</v>
      </c>
      <c r="R7" s="11"/>
      <c r="S7" s="11" t="s">
        <v>115</v>
      </c>
      <c r="T7" s="11"/>
      <c r="U7" s="11">
        <v>12312.0</v>
      </c>
      <c r="V7" s="11" t="s">
        <v>68</v>
      </c>
      <c r="W7" s="11" t="s">
        <v>116</v>
      </c>
      <c r="X7" s="11" t="s">
        <v>69</v>
      </c>
      <c r="Y7" s="11" t="s">
        <v>117</v>
      </c>
      <c r="Z7" s="11">
        <v>5.4116459704E11</v>
      </c>
      <c r="AA7" s="11" t="s">
        <v>92</v>
      </c>
      <c r="AB7" s="11"/>
      <c r="AC7" s="11"/>
      <c r="AD7" s="11"/>
      <c r="AE7" s="11" t="s">
        <v>118</v>
      </c>
      <c r="AF7" s="11" t="s">
        <v>119</v>
      </c>
      <c r="AG7" s="18">
        <v>46280.96209490741</v>
      </c>
      <c r="AH7" s="18">
        <v>46280.96210648148</v>
      </c>
      <c r="AI7" s="11"/>
      <c r="AJ7" s="11"/>
      <c r="AK7" s="11">
        <v>18234.0</v>
      </c>
      <c r="AL7" s="21" t="s">
        <v>75</v>
      </c>
      <c r="AM7" s="16"/>
      <c r="AN7" s="16"/>
      <c r="AO7" s="23"/>
      <c r="AP7" s="16" t="s">
        <v>76</v>
      </c>
      <c r="AQ7" s="16">
        <v>3706.0</v>
      </c>
      <c r="AR7" s="16"/>
      <c r="AS7" s="11" t="s">
        <v>97</v>
      </c>
      <c r="AT7" s="11" t="s">
        <v>120</v>
      </c>
      <c r="AU7" s="11" t="s">
        <v>113</v>
      </c>
      <c r="AV7" s="11">
        <v>5.7760051E7</v>
      </c>
      <c r="AW7" s="11" t="s">
        <v>99</v>
      </c>
      <c r="AX7" s="11">
        <v>1.16459704E9</v>
      </c>
      <c r="AY7" s="11" t="s">
        <v>117</v>
      </c>
      <c r="AZ7" s="24">
        <v>42605.0</v>
      </c>
      <c r="BA7" s="11" t="s">
        <v>121</v>
      </c>
      <c r="BB7" s="11" t="s">
        <v>101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</row>
    <row r="8" ht="19.5" customHeight="1">
      <c r="A8" s="10" t="b">
        <v>0</v>
      </c>
      <c r="B8" s="11"/>
      <c r="C8" s="13" t="s">
        <v>60</v>
      </c>
      <c r="D8" s="14" t="s">
        <v>60</v>
      </c>
      <c r="E8" s="11"/>
      <c r="F8" s="15" t="s">
        <v>84</v>
      </c>
      <c r="G8" s="16">
        <v>127.0</v>
      </c>
      <c r="H8" s="16"/>
      <c r="I8" s="16">
        <v>46839.0</v>
      </c>
      <c r="J8" s="11" t="s">
        <v>85</v>
      </c>
      <c r="K8" s="11" t="s">
        <v>62</v>
      </c>
      <c r="L8" s="18">
        <v>46282.71885416667</v>
      </c>
      <c r="M8" s="18">
        <v>46282.71886574074</v>
      </c>
      <c r="N8" s="11" t="s">
        <v>63</v>
      </c>
      <c r="O8" s="11">
        <v>0.0</v>
      </c>
      <c r="P8" s="11" t="s">
        <v>122</v>
      </c>
      <c r="Q8" s="11" t="s">
        <v>123</v>
      </c>
      <c r="R8" s="11"/>
      <c r="S8" s="11" t="s">
        <v>124</v>
      </c>
      <c r="T8" s="29">
        <v>0.041666666666666664</v>
      </c>
      <c r="U8" s="11" t="s">
        <v>125</v>
      </c>
      <c r="V8" s="11" t="s">
        <v>126</v>
      </c>
      <c r="W8" s="11">
        <v>1054.0</v>
      </c>
      <c r="X8" s="11" t="s">
        <v>69</v>
      </c>
      <c r="Y8" s="11" t="s">
        <v>127</v>
      </c>
      <c r="Z8" s="11">
        <v>1.155813355E9</v>
      </c>
      <c r="AA8" s="11" t="s">
        <v>92</v>
      </c>
      <c r="AB8" s="11"/>
      <c r="AC8" s="11"/>
      <c r="AD8" s="11"/>
      <c r="AE8" s="11" t="s">
        <v>128</v>
      </c>
      <c r="AF8" s="11" t="s">
        <v>129</v>
      </c>
      <c r="AG8" s="18">
        <v>46282.84385416667</v>
      </c>
      <c r="AH8" s="18">
        <v>46282.84386574074</v>
      </c>
      <c r="AI8" s="11"/>
      <c r="AJ8" s="11"/>
      <c r="AK8" s="11">
        <v>18234.0</v>
      </c>
      <c r="AL8" s="21" t="s">
        <v>75</v>
      </c>
      <c r="AM8" s="16"/>
      <c r="AN8" s="14" t="s">
        <v>39</v>
      </c>
      <c r="AO8" s="23"/>
      <c r="AP8" s="16" t="s">
        <v>76</v>
      </c>
      <c r="AQ8" s="16">
        <v>3736.0</v>
      </c>
      <c r="AR8" s="16"/>
      <c r="AS8" s="11" t="s">
        <v>97</v>
      </c>
      <c r="AT8" s="11" t="s">
        <v>130</v>
      </c>
      <c r="AU8" s="11" t="s">
        <v>131</v>
      </c>
      <c r="AV8" s="11">
        <v>5.4380641E7</v>
      </c>
      <c r="AW8" s="11" t="s">
        <v>79</v>
      </c>
      <c r="AX8" s="11">
        <v>1.155813355E9</v>
      </c>
      <c r="AY8" s="11" t="s">
        <v>127</v>
      </c>
      <c r="AZ8" s="30">
        <v>41927.0</v>
      </c>
      <c r="BA8" s="11" t="s">
        <v>132</v>
      </c>
      <c r="BB8" s="11" t="s">
        <v>101</v>
      </c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ht="19.5" customHeight="1">
      <c r="A9" s="10" t="b">
        <v>0</v>
      </c>
      <c r="B9" s="11"/>
      <c r="C9" s="13" t="s">
        <v>60</v>
      </c>
      <c r="D9" s="14" t="s">
        <v>60</v>
      </c>
      <c r="E9" s="11"/>
      <c r="F9" s="15" t="s">
        <v>84</v>
      </c>
      <c r="G9" s="16">
        <v>132.0</v>
      </c>
      <c r="H9" s="16"/>
      <c r="I9" s="16">
        <v>46843.0</v>
      </c>
      <c r="J9" s="11" t="s">
        <v>85</v>
      </c>
      <c r="K9" s="11" t="s">
        <v>62</v>
      </c>
      <c r="L9" s="18">
        <v>46282.73092592593</v>
      </c>
      <c r="M9" s="18">
        <v>46282.7309375</v>
      </c>
      <c r="N9" s="11" t="s">
        <v>133</v>
      </c>
      <c r="O9" s="11">
        <v>0.0</v>
      </c>
      <c r="P9" s="11" t="s">
        <v>134</v>
      </c>
      <c r="Q9" s="11" t="s">
        <v>134</v>
      </c>
      <c r="R9" s="11"/>
      <c r="S9" s="11" t="s">
        <v>135</v>
      </c>
      <c r="T9" s="11" t="s">
        <v>136</v>
      </c>
      <c r="U9" s="11" t="s">
        <v>137</v>
      </c>
      <c r="V9" s="11" t="s">
        <v>68</v>
      </c>
      <c r="W9" s="11">
        <v>1643.0</v>
      </c>
      <c r="X9" s="11" t="s">
        <v>69</v>
      </c>
      <c r="Y9" s="11" t="s">
        <v>138</v>
      </c>
      <c r="Z9" s="11" t="s">
        <v>139</v>
      </c>
      <c r="AA9" s="11" t="s">
        <v>92</v>
      </c>
      <c r="AB9" s="11"/>
      <c r="AC9" s="11"/>
      <c r="AD9" s="11"/>
      <c r="AE9" s="11" t="s">
        <v>140</v>
      </c>
      <c r="AF9" s="11" t="s">
        <v>141</v>
      </c>
      <c r="AG9" s="18">
        <v>46282.85592592593</v>
      </c>
      <c r="AH9" s="18">
        <v>46282.8559375</v>
      </c>
      <c r="AI9" s="11"/>
      <c r="AJ9" s="11"/>
      <c r="AK9" s="11">
        <v>18234.0</v>
      </c>
      <c r="AL9" s="21" t="s">
        <v>75</v>
      </c>
      <c r="AM9" s="16"/>
      <c r="AN9" s="14" t="s">
        <v>39</v>
      </c>
      <c r="AO9" s="23" t="s">
        <v>142</v>
      </c>
      <c r="AP9" s="16" t="s">
        <v>76</v>
      </c>
      <c r="AQ9" s="16">
        <v>3870.0</v>
      </c>
      <c r="AR9" s="16"/>
      <c r="AS9" s="11" t="s">
        <v>97</v>
      </c>
      <c r="AT9" s="11" t="s">
        <v>143</v>
      </c>
      <c r="AU9" s="11" t="s">
        <v>136</v>
      </c>
      <c r="AV9" s="11">
        <v>5.5144251E7</v>
      </c>
      <c r="AW9" s="11" t="s">
        <v>79</v>
      </c>
      <c r="AX9" s="11">
        <v>1.150022001E9</v>
      </c>
      <c r="AY9" s="11" t="s">
        <v>138</v>
      </c>
      <c r="AZ9" s="24">
        <v>42299.0</v>
      </c>
      <c r="BA9" s="11" t="s">
        <v>144</v>
      </c>
      <c r="BB9" s="11" t="s">
        <v>101</v>
      </c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</row>
    <row r="10" ht="19.5" customHeight="1">
      <c r="A10" s="10" t="b">
        <v>0</v>
      </c>
      <c r="B10" s="11"/>
      <c r="C10" s="13" t="s">
        <v>60</v>
      </c>
      <c r="D10" s="14" t="s">
        <v>60</v>
      </c>
      <c r="E10" s="11"/>
      <c r="F10" s="15" t="s">
        <v>84</v>
      </c>
      <c r="G10" s="16">
        <v>189.0</v>
      </c>
      <c r="H10" s="16"/>
      <c r="I10" s="16">
        <v>46900.0</v>
      </c>
      <c r="J10" s="11" t="s">
        <v>85</v>
      </c>
      <c r="K10" s="11" t="s">
        <v>62</v>
      </c>
      <c r="L10" s="18">
        <v>46284.30399305555</v>
      </c>
      <c r="M10" s="18">
        <v>46284.30399305555</v>
      </c>
      <c r="N10" s="11" t="s">
        <v>63</v>
      </c>
      <c r="O10" s="11">
        <v>0.0</v>
      </c>
      <c r="P10" s="11" t="s">
        <v>145</v>
      </c>
      <c r="Q10" s="11" t="s">
        <v>146</v>
      </c>
      <c r="R10" s="11"/>
      <c r="S10" s="11" t="s">
        <v>147</v>
      </c>
      <c r="T10" s="11" t="s">
        <v>148</v>
      </c>
      <c r="U10" s="11" t="s">
        <v>125</v>
      </c>
      <c r="V10" s="11" t="s">
        <v>126</v>
      </c>
      <c r="W10" s="11">
        <v>1426.0</v>
      </c>
      <c r="X10" s="11" t="s">
        <v>69</v>
      </c>
      <c r="Y10" s="11" t="s">
        <v>149</v>
      </c>
      <c r="Z10" s="11">
        <v>1.150974625E9</v>
      </c>
      <c r="AA10" s="11" t="s">
        <v>92</v>
      </c>
      <c r="AB10" s="11"/>
      <c r="AC10" s="11"/>
      <c r="AD10" s="11"/>
      <c r="AE10" s="11" t="s">
        <v>150</v>
      </c>
      <c r="AF10" s="11" t="s">
        <v>151</v>
      </c>
      <c r="AG10" s="18">
        <v>46284.42899305555</v>
      </c>
      <c r="AH10" s="18">
        <v>46284.42899305555</v>
      </c>
      <c r="AI10" s="11"/>
      <c r="AJ10" s="11"/>
      <c r="AK10" s="11">
        <v>18234.0</v>
      </c>
      <c r="AL10" s="21" t="s">
        <v>75</v>
      </c>
      <c r="AM10" s="16" t="s">
        <v>95</v>
      </c>
      <c r="AN10" s="14" t="s">
        <v>39</v>
      </c>
      <c r="AO10" s="23" t="s">
        <v>152</v>
      </c>
      <c r="AP10" s="16" t="s">
        <v>76</v>
      </c>
      <c r="AQ10" s="16">
        <v>3787.0</v>
      </c>
      <c r="AR10" s="16"/>
      <c r="AS10" s="11" t="s">
        <v>97</v>
      </c>
      <c r="AT10" s="11" t="s">
        <v>153</v>
      </c>
      <c r="AU10" s="11" t="s">
        <v>146</v>
      </c>
      <c r="AV10" s="11">
        <v>5.6385923E7</v>
      </c>
      <c r="AW10" s="11" t="s">
        <v>79</v>
      </c>
      <c r="AX10" s="11">
        <v>1.150974625E9</v>
      </c>
      <c r="AY10" s="11" t="s">
        <v>149</v>
      </c>
      <c r="AZ10" s="24">
        <v>42871.0</v>
      </c>
      <c r="BA10" s="11" t="s">
        <v>80</v>
      </c>
      <c r="BB10" s="11" t="s">
        <v>101</v>
      </c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</row>
    <row r="11" ht="19.5" customHeight="1">
      <c r="A11" s="10" t="b">
        <v>0</v>
      </c>
      <c r="B11" s="11"/>
      <c r="C11" s="13" t="s">
        <v>60</v>
      </c>
      <c r="D11" s="14" t="s">
        <v>60</v>
      </c>
      <c r="E11" s="11"/>
      <c r="F11" s="15" t="s">
        <v>84</v>
      </c>
      <c r="G11" s="16">
        <v>250.0</v>
      </c>
      <c r="H11" s="16"/>
      <c r="I11" s="16">
        <v>46973.0</v>
      </c>
      <c r="J11" s="11" t="s">
        <v>85</v>
      </c>
      <c r="K11" s="11" t="s">
        <v>62</v>
      </c>
      <c r="L11" s="18">
        <v>46285.80533564815</v>
      </c>
      <c r="M11" s="18">
        <v>46285.80533564815</v>
      </c>
      <c r="N11" s="11" t="s">
        <v>63</v>
      </c>
      <c r="O11" s="11">
        <v>0.0</v>
      </c>
      <c r="P11" s="11" t="s">
        <v>154</v>
      </c>
      <c r="Q11" s="11" t="s">
        <v>155</v>
      </c>
      <c r="R11" s="11"/>
      <c r="S11" s="11" t="s">
        <v>156</v>
      </c>
      <c r="T11" s="11" t="s">
        <v>157</v>
      </c>
      <c r="U11" s="11" t="s">
        <v>158</v>
      </c>
      <c r="V11" s="11" t="s">
        <v>126</v>
      </c>
      <c r="W11" s="11">
        <v>1429.0</v>
      </c>
      <c r="X11" s="11" t="s">
        <v>69</v>
      </c>
      <c r="Y11" s="11" t="s">
        <v>159</v>
      </c>
      <c r="Z11" s="11">
        <v>6.1412443E7</v>
      </c>
      <c r="AA11" s="11" t="s">
        <v>92</v>
      </c>
      <c r="AB11" s="11"/>
      <c r="AC11" s="11"/>
      <c r="AD11" s="11"/>
      <c r="AE11" s="11" t="s">
        <v>160</v>
      </c>
      <c r="AF11" s="11" t="s">
        <v>161</v>
      </c>
      <c r="AG11" s="18">
        <v>46285.93033564815</v>
      </c>
      <c r="AH11" s="18">
        <v>46285.93033564815</v>
      </c>
      <c r="AI11" s="11"/>
      <c r="AJ11" s="11"/>
      <c r="AK11" s="11">
        <v>18234.0</v>
      </c>
      <c r="AL11" s="21" t="s">
        <v>75</v>
      </c>
      <c r="AM11" s="16"/>
      <c r="AN11" s="16"/>
      <c r="AO11" s="23"/>
      <c r="AP11" s="16" t="s">
        <v>76</v>
      </c>
      <c r="AQ11" s="16">
        <v>3140.0</v>
      </c>
      <c r="AR11" s="16"/>
      <c r="AS11" s="11" t="s">
        <v>97</v>
      </c>
      <c r="AT11" s="11" t="s">
        <v>162</v>
      </c>
      <c r="AU11" s="11" t="s">
        <v>155</v>
      </c>
      <c r="AV11" s="11">
        <v>5.4381722E7</v>
      </c>
      <c r="AW11" s="11" t="s">
        <v>99</v>
      </c>
      <c r="AX11" s="11">
        <v>6.1412443E7</v>
      </c>
      <c r="AY11" s="11" t="s">
        <v>159</v>
      </c>
      <c r="AZ11" s="24">
        <v>41968.0</v>
      </c>
      <c r="BA11" s="11" t="s">
        <v>100</v>
      </c>
      <c r="BB11" s="11" t="s">
        <v>101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</row>
    <row r="12" ht="19.5" customHeight="1">
      <c r="A12" s="10" t="b">
        <v>0</v>
      </c>
      <c r="B12" s="11"/>
      <c r="C12" s="13" t="s">
        <v>60</v>
      </c>
      <c r="D12" s="14" t="s">
        <v>60</v>
      </c>
      <c r="E12" s="11"/>
      <c r="F12" s="15" t="s">
        <v>163</v>
      </c>
      <c r="G12" s="16">
        <v>586.0</v>
      </c>
      <c r="H12" s="16"/>
      <c r="I12" s="16">
        <v>47312.0</v>
      </c>
      <c r="J12" s="11" t="s">
        <v>61</v>
      </c>
      <c r="K12" s="11" t="s">
        <v>62</v>
      </c>
      <c r="L12" s="18">
        <v>46287.69222222222</v>
      </c>
      <c r="M12" s="18">
        <v>46287.6922337963</v>
      </c>
      <c r="N12" s="11" t="s">
        <v>63</v>
      </c>
      <c r="O12" s="11">
        <v>0.0</v>
      </c>
      <c r="P12" s="11" t="s">
        <v>164</v>
      </c>
      <c r="Q12" s="11" t="s">
        <v>165</v>
      </c>
      <c r="R12" s="11"/>
      <c r="S12" s="11" t="s">
        <v>166</v>
      </c>
      <c r="T12" s="11"/>
      <c r="U12" s="11" t="s">
        <v>167</v>
      </c>
      <c r="V12" s="11" t="s">
        <v>168</v>
      </c>
      <c r="W12" s="11">
        <v>2520000.0</v>
      </c>
      <c r="X12" s="11" t="s">
        <v>169</v>
      </c>
      <c r="Y12" s="11" t="s">
        <v>170</v>
      </c>
      <c r="Z12" s="11">
        <v>5.6979844281E10</v>
      </c>
      <c r="AA12" s="11" t="s">
        <v>171</v>
      </c>
      <c r="AB12" s="11"/>
      <c r="AC12" s="11"/>
      <c r="AD12" s="11"/>
      <c r="AE12" s="11" t="s">
        <v>172</v>
      </c>
      <c r="AF12" s="11" t="s">
        <v>173</v>
      </c>
      <c r="AG12" s="18">
        <v>46287.81722222222</v>
      </c>
      <c r="AH12" s="18">
        <v>46287.8172337963</v>
      </c>
      <c r="AI12" s="11"/>
      <c r="AJ12" s="11"/>
      <c r="AK12" s="11">
        <v>18234.0</v>
      </c>
      <c r="AL12" s="21" t="s">
        <v>75</v>
      </c>
      <c r="AM12" s="16"/>
      <c r="AN12" s="16"/>
      <c r="AO12" s="23" t="s">
        <v>174</v>
      </c>
      <c r="AP12" s="16" t="s">
        <v>175</v>
      </c>
      <c r="AQ12" s="16">
        <v>425.0</v>
      </c>
      <c r="AR12" s="16"/>
      <c r="AS12" s="11" t="s">
        <v>176</v>
      </c>
      <c r="AT12" s="11" t="s">
        <v>177</v>
      </c>
      <c r="AU12" s="11" t="s">
        <v>178</v>
      </c>
      <c r="AV12" s="11">
        <v>2.67835136E8</v>
      </c>
      <c r="AW12" s="11" t="s">
        <v>99</v>
      </c>
      <c r="AX12" s="11">
        <v>5.6979844281E10</v>
      </c>
      <c r="AY12" s="11" t="s">
        <v>170</v>
      </c>
      <c r="AZ12" s="24">
        <v>42364.0</v>
      </c>
      <c r="BA12" s="11" t="s">
        <v>179</v>
      </c>
      <c r="BB12" s="11" t="s">
        <v>81</v>
      </c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</row>
    <row r="13" ht="19.5" customHeight="1">
      <c r="A13" s="10" t="b">
        <v>0</v>
      </c>
      <c r="B13" s="11"/>
      <c r="C13" s="13" t="s">
        <v>60</v>
      </c>
      <c r="D13" s="14" t="s">
        <v>60</v>
      </c>
      <c r="E13" s="11"/>
      <c r="F13" s="15" t="s">
        <v>180</v>
      </c>
      <c r="G13" s="16">
        <v>383.0</v>
      </c>
      <c r="H13" s="16"/>
      <c r="I13" s="16">
        <v>47106.0</v>
      </c>
      <c r="J13" s="11" t="s">
        <v>61</v>
      </c>
      <c r="K13" s="11" t="s">
        <v>62</v>
      </c>
      <c r="L13" s="18">
        <v>46286.652025462965</v>
      </c>
      <c r="M13" s="18">
        <v>46286.65204861111</v>
      </c>
      <c r="N13" s="11" t="s">
        <v>63</v>
      </c>
      <c r="O13" s="11">
        <v>0.0</v>
      </c>
      <c r="P13" s="11" t="s">
        <v>181</v>
      </c>
      <c r="Q13" s="11" t="s">
        <v>182</v>
      </c>
      <c r="R13" s="11"/>
      <c r="S13" s="11" t="s">
        <v>183</v>
      </c>
      <c r="T13" s="11"/>
      <c r="U13" s="11" t="s">
        <v>184</v>
      </c>
      <c r="V13" s="11" t="s">
        <v>185</v>
      </c>
      <c r="W13" s="11"/>
      <c r="X13" s="11" t="s">
        <v>169</v>
      </c>
      <c r="Y13" s="11" t="s">
        <v>186</v>
      </c>
      <c r="Z13" s="11">
        <v>5.6994162576E10</v>
      </c>
      <c r="AA13" s="11" t="s">
        <v>187</v>
      </c>
      <c r="AB13" s="11"/>
      <c r="AC13" s="11"/>
      <c r="AD13" s="11"/>
      <c r="AE13" s="11" t="s">
        <v>188</v>
      </c>
      <c r="AF13" s="11" t="s">
        <v>189</v>
      </c>
      <c r="AG13" s="18">
        <v>46286.777025462965</v>
      </c>
      <c r="AH13" s="18">
        <v>46286.77704861111</v>
      </c>
      <c r="AI13" s="11"/>
      <c r="AJ13" s="11"/>
      <c r="AK13" s="11">
        <v>18234.0</v>
      </c>
      <c r="AL13" s="21" t="s">
        <v>75</v>
      </c>
      <c r="AM13" s="16"/>
      <c r="AN13" s="16"/>
      <c r="AO13" s="23" t="s">
        <v>190</v>
      </c>
      <c r="AP13" s="16" t="s">
        <v>175</v>
      </c>
      <c r="AQ13" s="14">
        <v>446.0</v>
      </c>
      <c r="AR13" s="16"/>
      <c r="AS13" s="11" t="s">
        <v>191</v>
      </c>
      <c r="AT13" s="11" t="s">
        <v>181</v>
      </c>
      <c r="AU13" s="11" t="s">
        <v>192</v>
      </c>
      <c r="AV13" s="11">
        <v>2.47109439E8</v>
      </c>
      <c r="AW13" s="11" t="s">
        <v>99</v>
      </c>
      <c r="AX13" s="11">
        <v>5.6994162576E10</v>
      </c>
      <c r="AY13" s="11" t="s">
        <v>186</v>
      </c>
      <c r="AZ13" s="31">
        <v>41864.0</v>
      </c>
      <c r="BA13" s="11">
        <v>714752.0</v>
      </c>
      <c r="BB13" s="11" t="s">
        <v>101</v>
      </c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</row>
    <row r="14" ht="19.5" customHeight="1">
      <c r="A14" s="10" t="b">
        <v>0</v>
      </c>
      <c r="B14" s="11"/>
      <c r="C14" s="13" t="s">
        <v>59</v>
      </c>
      <c r="D14" s="14" t="s">
        <v>60</v>
      </c>
      <c r="E14" s="11"/>
      <c r="F14" s="15" t="s">
        <v>180</v>
      </c>
      <c r="G14" s="14">
        <v>1090.0</v>
      </c>
      <c r="H14" s="16"/>
      <c r="I14" s="32">
        <v>47441.0</v>
      </c>
      <c r="J14" s="33" t="s">
        <v>61</v>
      </c>
      <c r="K14" s="33" t="s">
        <v>62</v>
      </c>
      <c r="L14" s="34">
        <v>46296.48402777778</v>
      </c>
      <c r="M14" s="34">
        <v>46296.48402777778</v>
      </c>
      <c r="N14" s="33" t="s">
        <v>63</v>
      </c>
      <c r="O14" s="32">
        <v>0.0</v>
      </c>
      <c r="P14" s="33" t="s">
        <v>120</v>
      </c>
      <c r="Q14" s="33" t="s">
        <v>193</v>
      </c>
      <c r="R14" s="35"/>
      <c r="S14" s="32">
        <v>0.0</v>
      </c>
      <c r="T14" s="32"/>
      <c r="U14" s="32">
        <v>0.0</v>
      </c>
      <c r="V14" s="33" t="s">
        <v>126</v>
      </c>
      <c r="W14" s="32">
        <v>0.0</v>
      </c>
      <c r="X14" s="33" t="s">
        <v>69</v>
      </c>
      <c r="Y14" s="33" t="s">
        <v>194</v>
      </c>
      <c r="Z14" s="32">
        <v>0.0</v>
      </c>
      <c r="AA14" s="33" t="s">
        <v>187</v>
      </c>
      <c r="AB14" s="35"/>
      <c r="AC14" s="35"/>
      <c r="AD14" s="35"/>
      <c r="AE14" s="36" t="s">
        <v>195</v>
      </c>
      <c r="AF14" s="36" t="s">
        <v>196</v>
      </c>
      <c r="AG14" s="34">
        <v>46296.60902777778</v>
      </c>
      <c r="AH14" s="34">
        <v>46296.60902777778</v>
      </c>
      <c r="AI14" s="35"/>
      <c r="AJ14" s="35"/>
      <c r="AK14" s="32">
        <v>18234.0</v>
      </c>
      <c r="AL14" s="33" t="s">
        <v>75</v>
      </c>
      <c r="AM14" s="33"/>
      <c r="AN14" s="37"/>
      <c r="AO14" s="33" t="s">
        <v>76</v>
      </c>
      <c r="AP14" s="14" t="s">
        <v>76</v>
      </c>
      <c r="AQ14" s="38">
        <v>3830.0</v>
      </c>
      <c r="AR14" s="35"/>
      <c r="AS14" s="33" t="s">
        <v>197</v>
      </c>
      <c r="AT14" s="33" t="s">
        <v>198</v>
      </c>
      <c r="AU14" s="33" t="s">
        <v>193</v>
      </c>
      <c r="AV14" s="32">
        <v>5.5297888E7</v>
      </c>
      <c r="AW14" s="33" t="s">
        <v>79</v>
      </c>
      <c r="AX14" s="32">
        <v>1.16046444E9</v>
      </c>
      <c r="AY14" s="33" t="s">
        <v>194</v>
      </c>
      <c r="AZ14" s="39">
        <v>42381.0</v>
      </c>
      <c r="BA14" s="40" t="s">
        <v>199</v>
      </c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</row>
    <row r="15" ht="19.5" customHeight="1">
      <c r="A15" s="10" t="b">
        <v>0</v>
      </c>
      <c r="B15" s="11"/>
      <c r="C15" s="13" t="s">
        <v>59</v>
      </c>
      <c r="D15" s="14" t="s">
        <v>59</v>
      </c>
      <c r="E15" s="11"/>
      <c r="F15" s="15" t="s">
        <v>4</v>
      </c>
      <c r="G15" s="16">
        <v>10.0</v>
      </c>
      <c r="H15" s="16"/>
      <c r="I15" s="16">
        <v>46649.0</v>
      </c>
      <c r="J15" s="11" t="s">
        <v>61</v>
      </c>
      <c r="K15" s="11" t="s">
        <v>62</v>
      </c>
      <c r="L15" s="18">
        <v>46265.714479166665</v>
      </c>
      <c r="M15" s="18">
        <v>46265.714537037034</v>
      </c>
      <c r="N15" s="11" t="s">
        <v>63</v>
      </c>
      <c r="O15" s="11">
        <v>0.0</v>
      </c>
      <c r="P15" s="11" t="s">
        <v>200</v>
      </c>
      <c r="Q15" s="11" t="s">
        <v>201</v>
      </c>
      <c r="R15" s="11"/>
      <c r="S15" s="11" t="s">
        <v>202</v>
      </c>
      <c r="T15" s="11"/>
      <c r="U15" s="11" t="s">
        <v>203</v>
      </c>
      <c r="V15" s="11" t="s">
        <v>204</v>
      </c>
      <c r="W15" s="11"/>
      <c r="X15" s="11" t="s">
        <v>169</v>
      </c>
      <c r="Y15" s="11" t="s">
        <v>205</v>
      </c>
      <c r="Z15" s="11">
        <v>5.6954562321E10</v>
      </c>
      <c r="AA15" s="11" t="s">
        <v>71</v>
      </c>
      <c r="AB15" s="11"/>
      <c r="AC15" s="11"/>
      <c r="AD15" s="18">
        <v>46265.714537037034</v>
      </c>
      <c r="AE15" s="11" t="s">
        <v>206</v>
      </c>
      <c r="AF15" s="11" t="s">
        <v>207</v>
      </c>
      <c r="AG15" s="18">
        <v>46265.839479166665</v>
      </c>
      <c r="AH15" s="18">
        <v>46265.839537037034</v>
      </c>
      <c r="AI15" s="11"/>
      <c r="AJ15" s="18">
        <v>46265.839537037034</v>
      </c>
      <c r="AK15" s="11">
        <v>18234.0</v>
      </c>
      <c r="AL15" s="21" t="s">
        <v>75</v>
      </c>
      <c r="AM15" s="16"/>
      <c r="AN15" s="14" t="s">
        <v>39</v>
      </c>
      <c r="AO15" s="23"/>
      <c r="AP15" s="16" t="s">
        <v>175</v>
      </c>
      <c r="AQ15" s="16">
        <v>421.0</v>
      </c>
      <c r="AR15" s="16"/>
      <c r="AS15" s="10" t="s">
        <v>176</v>
      </c>
      <c r="AT15" s="11" t="s">
        <v>208</v>
      </c>
      <c r="AU15" s="11" t="s">
        <v>209</v>
      </c>
      <c r="AV15" s="11">
        <v>2.44870732E8</v>
      </c>
      <c r="AW15" s="11" t="s">
        <v>79</v>
      </c>
      <c r="AX15" s="11">
        <v>5.6954562321E10</v>
      </c>
      <c r="AY15" s="11" t="s">
        <v>205</v>
      </c>
      <c r="AZ15" s="41">
        <v>41626.0</v>
      </c>
      <c r="BA15" s="11" t="s">
        <v>210</v>
      </c>
      <c r="BB15" s="11" t="s">
        <v>81</v>
      </c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</row>
    <row r="16" ht="19.5" customHeight="1">
      <c r="A16" s="10" t="b">
        <v>0</v>
      </c>
      <c r="B16" s="11"/>
      <c r="C16" s="13" t="s">
        <v>60</v>
      </c>
      <c r="D16" s="14" t="s">
        <v>60</v>
      </c>
      <c r="E16" s="11"/>
      <c r="F16" s="15" t="s">
        <v>4</v>
      </c>
      <c r="G16" s="16">
        <v>58.0</v>
      </c>
      <c r="H16" s="16"/>
      <c r="I16" s="16">
        <v>46759.0</v>
      </c>
      <c r="J16" s="11" t="s">
        <v>61</v>
      </c>
      <c r="K16" s="11" t="s">
        <v>62</v>
      </c>
      <c r="L16" s="18">
        <v>46277.73479166667</v>
      </c>
      <c r="M16" s="18">
        <v>46277.73484953704</v>
      </c>
      <c r="N16" s="11" t="s">
        <v>63</v>
      </c>
      <c r="O16" s="11">
        <v>0.0</v>
      </c>
      <c r="P16" s="11" t="s">
        <v>211</v>
      </c>
      <c r="Q16" s="11" t="s">
        <v>212</v>
      </c>
      <c r="R16" s="11"/>
      <c r="S16" s="11" t="s">
        <v>213</v>
      </c>
      <c r="T16" s="11"/>
      <c r="U16" s="11" t="s">
        <v>214</v>
      </c>
      <c r="V16" s="11" t="s">
        <v>68</v>
      </c>
      <c r="W16" s="11">
        <v>2930.0</v>
      </c>
      <c r="X16" s="11" t="s">
        <v>69</v>
      </c>
      <c r="Y16" s="11" t="s">
        <v>215</v>
      </c>
      <c r="Z16" s="11">
        <v>5.43329333252E11</v>
      </c>
      <c r="AA16" s="11" t="s">
        <v>71</v>
      </c>
      <c r="AB16" s="11"/>
      <c r="AC16" s="11"/>
      <c r="AD16" s="18">
        <v>46277.73484953704</v>
      </c>
      <c r="AE16" s="11" t="s">
        <v>216</v>
      </c>
      <c r="AF16" s="11" t="s">
        <v>217</v>
      </c>
      <c r="AG16" s="18">
        <v>46277.85979166667</v>
      </c>
      <c r="AH16" s="18">
        <v>46277.85984953704</v>
      </c>
      <c r="AI16" s="11"/>
      <c r="AJ16" s="18">
        <v>46277.85984953704</v>
      </c>
      <c r="AK16" s="11">
        <v>18234.0</v>
      </c>
      <c r="AL16" s="21" t="s">
        <v>75</v>
      </c>
      <c r="AM16" s="16"/>
      <c r="AN16" s="16"/>
      <c r="AO16" s="23"/>
      <c r="AP16" s="16" t="s">
        <v>76</v>
      </c>
      <c r="AQ16" s="16">
        <v>3715.0</v>
      </c>
      <c r="AR16" s="16"/>
      <c r="AS16" s="11" t="s">
        <v>218</v>
      </c>
      <c r="AT16" s="11" t="s">
        <v>211</v>
      </c>
      <c r="AU16" s="11" t="s">
        <v>212</v>
      </c>
      <c r="AV16" s="11">
        <v>5.5529776E7</v>
      </c>
      <c r="AW16" s="11" t="s">
        <v>99</v>
      </c>
      <c r="AX16" s="11">
        <v>3.329333252E9</v>
      </c>
      <c r="AY16" s="11" t="s">
        <v>215</v>
      </c>
      <c r="AZ16" s="24">
        <v>42549.0</v>
      </c>
      <c r="BA16" s="11" t="s">
        <v>100</v>
      </c>
      <c r="BB16" s="11" t="s">
        <v>101</v>
      </c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</row>
    <row r="17" ht="19.5" customHeight="1">
      <c r="A17" s="10" t="b">
        <v>0</v>
      </c>
      <c r="B17" s="11"/>
      <c r="C17" s="13" t="s">
        <v>60</v>
      </c>
      <c r="D17" s="14" t="s">
        <v>60</v>
      </c>
      <c r="E17" s="11"/>
      <c r="F17" s="15" t="s">
        <v>4</v>
      </c>
      <c r="G17" s="16">
        <v>61.0</v>
      </c>
      <c r="H17" s="16"/>
      <c r="I17" s="16">
        <v>46764.0</v>
      </c>
      <c r="J17" s="11" t="s">
        <v>61</v>
      </c>
      <c r="K17" s="11" t="s">
        <v>62</v>
      </c>
      <c r="L17" s="18">
        <v>46278.5590625</v>
      </c>
      <c r="M17" s="18">
        <v>46278.5591087963</v>
      </c>
      <c r="N17" s="11" t="s">
        <v>63</v>
      </c>
      <c r="O17" s="11">
        <v>0.0</v>
      </c>
      <c r="P17" s="11" t="s">
        <v>219</v>
      </c>
      <c r="Q17" s="11" t="s">
        <v>220</v>
      </c>
      <c r="R17" s="11"/>
      <c r="S17" s="11" t="s">
        <v>221</v>
      </c>
      <c r="T17" s="11" t="s">
        <v>222</v>
      </c>
      <c r="U17" s="11" t="s">
        <v>223</v>
      </c>
      <c r="V17" s="11" t="s">
        <v>224</v>
      </c>
      <c r="W17" s="11">
        <v>8324.0</v>
      </c>
      <c r="X17" s="11" t="s">
        <v>69</v>
      </c>
      <c r="Y17" s="11" t="s">
        <v>225</v>
      </c>
      <c r="Z17" s="11">
        <v>5.492994169996E12</v>
      </c>
      <c r="AA17" s="11" t="s">
        <v>71</v>
      </c>
      <c r="AB17" s="11"/>
      <c r="AC17" s="11"/>
      <c r="AD17" s="18">
        <v>46278.5591087963</v>
      </c>
      <c r="AE17" s="11" t="s">
        <v>226</v>
      </c>
      <c r="AF17" s="11" t="s">
        <v>227</v>
      </c>
      <c r="AG17" s="18">
        <v>46278.6840625</v>
      </c>
      <c r="AH17" s="18">
        <v>46278.6841087963</v>
      </c>
      <c r="AI17" s="11"/>
      <c r="AJ17" s="18">
        <v>46278.6841087963</v>
      </c>
      <c r="AK17" s="11">
        <v>18234.0</v>
      </c>
      <c r="AL17" s="21" t="s">
        <v>75</v>
      </c>
      <c r="AM17" s="16"/>
      <c r="AN17" s="16"/>
      <c r="AO17" s="23" t="s">
        <v>228</v>
      </c>
      <c r="AP17" s="16" t="s">
        <v>76</v>
      </c>
      <c r="AQ17" s="16">
        <v>3683.0</v>
      </c>
      <c r="AR17" s="16"/>
      <c r="AS17" s="10" t="s">
        <v>110</v>
      </c>
      <c r="AT17" s="11" t="s">
        <v>162</v>
      </c>
      <c r="AU17" s="11" t="s">
        <v>229</v>
      </c>
      <c r="AV17" s="11">
        <v>5.5157025E7</v>
      </c>
      <c r="AW17" s="11" t="s">
        <v>99</v>
      </c>
      <c r="AX17" s="11">
        <v>5.492994169996E12</v>
      </c>
      <c r="AY17" s="11" t="s">
        <v>225</v>
      </c>
      <c r="AZ17" s="24">
        <v>42403.0</v>
      </c>
      <c r="BA17" s="11" t="s">
        <v>230</v>
      </c>
      <c r="BB17" s="11" t="s">
        <v>101</v>
      </c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</row>
    <row r="18" ht="19.5" customHeight="1">
      <c r="A18" s="10" t="b">
        <v>0</v>
      </c>
      <c r="B18" s="11"/>
      <c r="C18" s="13" t="s">
        <v>60</v>
      </c>
      <c r="D18" s="14" t="s">
        <v>60</v>
      </c>
      <c r="E18" s="11"/>
      <c r="F18" s="15" t="s">
        <v>4</v>
      </c>
      <c r="G18" s="16">
        <v>71.0</v>
      </c>
      <c r="H18" s="16"/>
      <c r="I18" s="16">
        <v>46778.0</v>
      </c>
      <c r="J18" s="11" t="s">
        <v>61</v>
      </c>
      <c r="K18" s="11" t="s">
        <v>62</v>
      </c>
      <c r="L18" s="18">
        <v>46279.6955787037</v>
      </c>
      <c r="M18" s="18">
        <v>46279.69563657408</v>
      </c>
      <c r="N18" s="11" t="s">
        <v>133</v>
      </c>
      <c r="O18" s="11">
        <v>0.0</v>
      </c>
      <c r="P18" s="11" t="s">
        <v>231</v>
      </c>
      <c r="Q18" s="11" t="s">
        <v>232</v>
      </c>
      <c r="R18" s="11"/>
      <c r="S18" s="11" t="s">
        <v>233</v>
      </c>
      <c r="T18" s="11" t="s">
        <v>234</v>
      </c>
      <c r="U18" s="11" t="s">
        <v>235</v>
      </c>
      <c r="V18" s="11" t="s">
        <v>68</v>
      </c>
      <c r="W18" s="11">
        <v>1644.0</v>
      </c>
      <c r="X18" s="11" t="s">
        <v>69</v>
      </c>
      <c r="Y18" s="11" t="s">
        <v>236</v>
      </c>
      <c r="Z18" s="11">
        <v>5.41136916512E11</v>
      </c>
      <c r="AA18" s="11" t="s">
        <v>71</v>
      </c>
      <c r="AB18" s="11"/>
      <c r="AC18" s="11"/>
      <c r="AD18" s="18">
        <v>46279.69563657408</v>
      </c>
      <c r="AE18" s="11" t="s">
        <v>237</v>
      </c>
      <c r="AF18" s="11" t="s">
        <v>238</v>
      </c>
      <c r="AG18" s="18">
        <v>46279.8205787037</v>
      </c>
      <c r="AH18" s="18">
        <v>46279.82063657408</v>
      </c>
      <c r="AI18" s="11"/>
      <c r="AJ18" s="18">
        <v>46279.82063657408</v>
      </c>
      <c r="AK18" s="11">
        <v>18234.0</v>
      </c>
      <c r="AL18" s="21" t="s">
        <v>75</v>
      </c>
      <c r="AM18" s="16"/>
      <c r="AN18" s="14" t="s">
        <v>39</v>
      </c>
      <c r="AO18" s="23" t="s">
        <v>239</v>
      </c>
      <c r="AP18" s="16" t="s">
        <v>76</v>
      </c>
      <c r="AQ18" s="16">
        <v>3918.0</v>
      </c>
      <c r="AR18" s="16"/>
      <c r="AS18" s="11" t="s">
        <v>240</v>
      </c>
      <c r="AT18" s="11" t="s">
        <v>241</v>
      </c>
      <c r="AU18" s="11" t="s">
        <v>232</v>
      </c>
      <c r="AV18" s="11">
        <v>5.4700922E7</v>
      </c>
      <c r="AW18" s="11" t="s">
        <v>79</v>
      </c>
      <c r="AX18" s="11">
        <v>1.136916512E9</v>
      </c>
      <c r="AY18" s="11" t="s">
        <v>236</v>
      </c>
      <c r="AZ18" s="24">
        <v>42101.0</v>
      </c>
      <c r="BA18" s="11" t="s">
        <v>242</v>
      </c>
      <c r="BB18" s="11" t="s">
        <v>101</v>
      </c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</row>
    <row r="19" ht="19.5" customHeight="1">
      <c r="A19" s="10" t="b">
        <v>0</v>
      </c>
      <c r="B19" s="11"/>
      <c r="C19" s="13" t="s">
        <v>60</v>
      </c>
      <c r="D19" s="14" t="s">
        <v>60</v>
      </c>
      <c r="E19" s="11"/>
      <c r="F19" s="15" t="s">
        <v>4</v>
      </c>
      <c r="G19" s="16">
        <v>89.0</v>
      </c>
      <c r="H19" s="16"/>
      <c r="I19" s="16">
        <v>46799.0</v>
      </c>
      <c r="J19" s="11" t="s">
        <v>61</v>
      </c>
      <c r="K19" s="11" t="s">
        <v>62</v>
      </c>
      <c r="L19" s="18">
        <v>46281.474027777775</v>
      </c>
      <c r="M19" s="18">
        <v>46281.47408564815</v>
      </c>
      <c r="N19" s="11" t="s">
        <v>63</v>
      </c>
      <c r="O19" s="11">
        <v>0.0</v>
      </c>
      <c r="P19" s="11" t="s">
        <v>243</v>
      </c>
      <c r="Q19" s="11" t="s">
        <v>244</v>
      </c>
      <c r="R19" s="11"/>
      <c r="S19" s="11" t="s">
        <v>245</v>
      </c>
      <c r="T19" s="11" t="s">
        <v>246</v>
      </c>
      <c r="U19" s="11" t="s">
        <v>90</v>
      </c>
      <c r="V19" s="11" t="s">
        <v>68</v>
      </c>
      <c r="W19" s="11">
        <v>1623.0</v>
      </c>
      <c r="X19" s="11" t="s">
        <v>69</v>
      </c>
      <c r="Y19" s="11" t="s">
        <v>247</v>
      </c>
      <c r="Z19" s="11">
        <v>5.41133758434E11</v>
      </c>
      <c r="AA19" s="11" t="s">
        <v>71</v>
      </c>
      <c r="AB19" s="11"/>
      <c r="AC19" s="11"/>
      <c r="AD19" s="11"/>
      <c r="AE19" s="11" t="s">
        <v>248</v>
      </c>
      <c r="AF19" s="11" t="s">
        <v>249</v>
      </c>
      <c r="AG19" s="18">
        <v>46281.599027777775</v>
      </c>
      <c r="AH19" s="18">
        <v>46281.59908564815</v>
      </c>
      <c r="AI19" s="11"/>
      <c r="AJ19" s="11"/>
      <c r="AK19" s="11">
        <v>18234.0</v>
      </c>
      <c r="AL19" s="21" t="s">
        <v>75</v>
      </c>
      <c r="AM19" s="16"/>
      <c r="AN19" s="14" t="s">
        <v>39</v>
      </c>
      <c r="AO19" s="23" t="s">
        <v>250</v>
      </c>
      <c r="AP19" s="16" t="s">
        <v>76</v>
      </c>
      <c r="AQ19" s="16">
        <v>4262.0</v>
      </c>
      <c r="AR19" s="16"/>
      <c r="AS19" s="11" t="s">
        <v>251</v>
      </c>
      <c r="AT19" s="11" t="s">
        <v>198</v>
      </c>
      <c r="AU19" s="11" t="s">
        <v>244</v>
      </c>
      <c r="AV19" s="11">
        <v>5.3725227E7</v>
      </c>
      <c r="AW19" s="11" t="s">
        <v>79</v>
      </c>
      <c r="AX19" s="11">
        <v>1.133758434E9</v>
      </c>
      <c r="AY19" s="11" t="s">
        <v>247</v>
      </c>
      <c r="AZ19" s="24">
        <v>41675.0</v>
      </c>
      <c r="BA19" s="11" t="s">
        <v>252</v>
      </c>
      <c r="BB19" s="11" t="s">
        <v>101</v>
      </c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</row>
    <row r="20" ht="19.5" customHeight="1">
      <c r="A20" s="10" t="b">
        <v>0</v>
      </c>
      <c r="B20" s="11"/>
      <c r="C20" s="13" t="s">
        <v>60</v>
      </c>
      <c r="D20" s="14" t="s">
        <v>60</v>
      </c>
      <c r="E20" s="11"/>
      <c r="F20" s="15" t="s">
        <v>4</v>
      </c>
      <c r="G20" s="16">
        <v>90.0</v>
      </c>
      <c r="H20" s="16"/>
      <c r="I20" s="16">
        <v>46800.0</v>
      </c>
      <c r="J20" s="11" t="s">
        <v>61</v>
      </c>
      <c r="K20" s="11" t="s">
        <v>62</v>
      </c>
      <c r="L20" s="18">
        <v>46281.529502314814</v>
      </c>
      <c r="M20" s="18">
        <v>46281.52956018518</v>
      </c>
      <c r="N20" s="11" t="s">
        <v>63</v>
      </c>
      <c r="O20" s="11">
        <v>0.0</v>
      </c>
      <c r="P20" s="11" t="s">
        <v>253</v>
      </c>
      <c r="Q20" s="11" t="s">
        <v>254</v>
      </c>
      <c r="R20" s="11"/>
      <c r="S20" s="11" t="s">
        <v>255</v>
      </c>
      <c r="T20" s="11">
        <v>6.0</v>
      </c>
      <c r="U20" s="11" t="s">
        <v>256</v>
      </c>
      <c r="V20" s="11" t="s">
        <v>68</v>
      </c>
      <c r="W20" s="11">
        <v>1638.0</v>
      </c>
      <c r="X20" s="11" t="s">
        <v>69</v>
      </c>
      <c r="Y20" s="11" t="s">
        <v>257</v>
      </c>
      <c r="Z20" s="11">
        <v>5.491159639564E12</v>
      </c>
      <c r="AA20" s="11" t="s">
        <v>71</v>
      </c>
      <c r="AB20" s="11"/>
      <c r="AC20" s="11"/>
      <c r="AD20" s="18">
        <v>46281.52956018518</v>
      </c>
      <c r="AE20" s="11" t="s">
        <v>258</v>
      </c>
      <c r="AF20" s="11" t="s">
        <v>259</v>
      </c>
      <c r="AG20" s="18">
        <v>46281.654502314814</v>
      </c>
      <c r="AH20" s="18">
        <v>46281.65456018518</v>
      </c>
      <c r="AI20" s="11"/>
      <c r="AJ20" s="18">
        <v>46281.65456018518</v>
      </c>
      <c r="AK20" s="11">
        <v>18234.0</v>
      </c>
      <c r="AL20" s="21" t="s">
        <v>75</v>
      </c>
      <c r="AM20" s="16"/>
      <c r="AN20" s="16"/>
      <c r="AO20" s="23"/>
      <c r="AP20" s="16" t="s">
        <v>76</v>
      </c>
      <c r="AQ20" s="16">
        <v>3495.0</v>
      </c>
      <c r="AR20" s="16"/>
      <c r="AS20" s="11" t="s">
        <v>110</v>
      </c>
      <c r="AT20" s="11" t="s">
        <v>260</v>
      </c>
      <c r="AU20" s="11" t="s">
        <v>254</v>
      </c>
      <c r="AV20" s="11">
        <v>5.56011E7</v>
      </c>
      <c r="AW20" s="11" t="s">
        <v>99</v>
      </c>
      <c r="AX20" s="11">
        <v>5.491159639564E12</v>
      </c>
      <c r="AY20" s="11" t="s">
        <v>257</v>
      </c>
      <c r="AZ20" s="24">
        <v>42478.0</v>
      </c>
      <c r="BA20" s="11" t="s">
        <v>100</v>
      </c>
      <c r="BB20" s="11" t="s">
        <v>101</v>
      </c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</row>
    <row r="21" ht="19.5" customHeight="1">
      <c r="A21" s="10" t="b">
        <v>0</v>
      </c>
      <c r="B21" s="11"/>
      <c r="C21" s="13" t="s">
        <v>60</v>
      </c>
      <c r="D21" s="14" t="s">
        <v>60</v>
      </c>
      <c r="E21" s="11"/>
      <c r="F21" s="15" t="s">
        <v>4</v>
      </c>
      <c r="G21" s="16">
        <v>94.0</v>
      </c>
      <c r="H21" s="16"/>
      <c r="I21" s="16">
        <v>46804.0</v>
      </c>
      <c r="J21" s="11" t="s">
        <v>61</v>
      </c>
      <c r="K21" s="11" t="s">
        <v>62</v>
      </c>
      <c r="L21" s="18">
        <v>46281.620405092595</v>
      </c>
      <c r="M21" s="18">
        <v>46281.62045138889</v>
      </c>
      <c r="N21" s="11" t="s">
        <v>63</v>
      </c>
      <c r="O21" s="11">
        <v>0.0</v>
      </c>
      <c r="P21" s="11" t="s">
        <v>261</v>
      </c>
      <c r="Q21" s="11" t="s">
        <v>262</v>
      </c>
      <c r="R21" s="11"/>
      <c r="S21" s="11" t="s">
        <v>263</v>
      </c>
      <c r="T21" s="11"/>
      <c r="U21" s="11" t="s">
        <v>264</v>
      </c>
      <c r="V21" s="11" t="s">
        <v>68</v>
      </c>
      <c r="W21" s="11">
        <v>1609.0</v>
      </c>
      <c r="X21" s="11" t="s">
        <v>69</v>
      </c>
      <c r="Y21" s="11" t="s">
        <v>265</v>
      </c>
      <c r="Z21" s="11">
        <v>1.150566508E9</v>
      </c>
      <c r="AA21" s="11" t="s">
        <v>71</v>
      </c>
      <c r="AB21" s="11"/>
      <c r="AC21" s="11"/>
      <c r="AD21" s="18">
        <v>46281.62045138889</v>
      </c>
      <c r="AE21" s="11" t="s">
        <v>266</v>
      </c>
      <c r="AF21" s="11" t="s">
        <v>267</v>
      </c>
      <c r="AG21" s="18">
        <v>46281.745405092595</v>
      </c>
      <c r="AH21" s="18">
        <v>46281.74545138889</v>
      </c>
      <c r="AI21" s="11"/>
      <c r="AJ21" s="18">
        <v>46281.74545138889</v>
      </c>
      <c r="AK21" s="11">
        <v>18234.0</v>
      </c>
      <c r="AL21" s="21" t="s">
        <v>75</v>
      </c>
      <c r="AM21" s="16"/>
      <c r="AN21" s="16"/>
      <c r="AO21" s="23" t="s">
        <v>268</v>
      </c>
      <c r="AP21" s="16" t="s">
        <v>76</v>
      </c>
      <c r="AQ21" s="16">
        <v>3992.0</v>
      </c>
      <c r="AR21" s="16"/>
      <c r="AS21" s="11" t="s">
        <v>269</v>
      </c>
      <c r="AT21" s="11" t="s">
        <v>270</v>
      </c>
      <c r="AU21" s="11" t="s">
        <v>271</v>
      </c>
      <c r="AV21" s="11">
        <v>5.3953045E7</v>
      </c>
      <c r="AW21" s="11" t="s">
        <v>99</v>
      </c>
      <c r="AX21" s="11">
        <v>1.150566508E9</v>
      </c>
      <c r="AY21" s="11" t="s">
        <v>265</v>
      </c>
      <c r="AZ21" s="24">
        <v>41816.0</v>
      </c>
      <c r="BA21" s="11" t="s">
        <v>272</v>
      </c>
      <c r="BB21" s="11" t="s">
        <v>101</v>
      </c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</row>
    <row r="22" ht="19.5" customHeight="1">
      <c r="A22" s="10" t="b">
        <v>0</v>
      </c>
      <c r="B22" s="11"/>
      <c r="C22" s="13" t="s">
        <v>60</v>
      </c>
      <c r="D22" s="14" t="s">
        <v>60</v>
      </c>
      <c r="E22" s="11"/>
      <c r="F22" s="15" t="s">
        <v>4</v>
      </c>
      <c r="G22" s="16">
        <v>95.0</v>
      </c>
      <c r="H22" s="16"/>
      <c r="I22" s="16">
        <v>46805.0</v>
      </c>
      <c r="J22" s="11" t="s">
        <v>61</v>
      </c>
      <c r="K22" s="11" t="s">
        <v>62</v>
      </c>
      <c r="L22" s="18">
        <v>46281.647256944445</v>
      </c>
      <c r="M22" s="18">
        <v>46281.64730324074</v>
      </c>
      <c r="N22" s="11" t="s">
        <v>63</v>
      </c>
      <c r="O22" s="11">
        <v>0.0</v>
      </c>
      <c r="P22" s="11" t="s">
        <v>273</v>
      </c>
      <c r="Q22" s="11" t="s">
        <v>274</v>
      </c>
      <c r="R22" s="11"/>
      <c r="S22" s="11" t="s">
        <v>275</v>
      </c>
      <c r="T22" s="11"/>
      <c r="U22" s="11" t="s">
        <v>276</v>
      </c>
      <c r="V22" s="11" t="s">
        <v>126</v>
      </c>
      <c r="W22" s="11">
        <v>1428.0</v>
      </c>
      <c r="X22" s="11" t="s">
        <v>69</v>
      </c>
      <c r="Y22" s="11" t="s">
        <v>277</v>
      </c>
      <c r="Z22" s="11">
        <v>5.41161667532E11</v>
      </c>
      <c r="AA22" s="11" t="s">
        <v>71</v>
      </c>
      <c r="AB22" s="11"/>
      <c r="AC22" s="11"/>
      <c r="AD22" s="18">
        <v>46281.64730324074</v>
      </c>
      <c r="AE22" s="11" t="s">
        <v>278</v>
      </c>
      <c r="AF22" s="11" t="s">
        <v>279</v>
      </c>
      <c r="AG22" s="18">
        <v>46281.772256944445</v>
      </c>
      <c r="AH22" s="18">
        <v>46281.77230324074</v>
      </c>
      <c r="AI22" s="11"/>
      <c r="AJ22" s="18">
        <v>46281.77230324074</v>
      </c>
      <c r="AK22" s="11">
        <v>18234.0</v>
      </c>
      <c r="AL22" s="21" t="s">
        <v>75</v>
      </c>
      <c r="AM22" s="16"/>
      <c r="AN22" s="16"/>
      <c r="AO22" s="23"/>
      <c r="AP22" s="16" t="s">
        <v>76</v>
      </c>
      <c r="AQ22" s="16">
        <v>4180.0</v>
      </c>
      <c r="AR22" s="16"/>
      <c r="AS22" s="11" t="s">
        <v>110</v>
      </c>
      <c r="AT22" s="11" t="s">
        <v>120</v>
      </c>
      <c r="AU22" s="11" t="s">
        <v>280</v>
      </c>
      <c r="AV22" s="11">
        <v>5.5004289E7</v>
      </c>
      <c r="AW22" s="11" t="s">
        <v>99</v>
      </c>
      <c r="AX22" s="11">
        <v>1.161667532E9</v>
      </c>
      <c r="AY22" s="11" t="s">
        <v>281</v>
      </c>
      <c r="AZ22" s="24">
        <v>42241.0</v>
      </c>
      <c r="BA22" s="11" t="s">
        <v>282</v>
      </c>
      <c r="BB22" s="11" t="s">
        <v>81</v>
      </c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</row>
    <row r="23" ht="19.5" customHeight="1">
      <c r="A23" s="10" t="b">
        <v>0</v>
      </c>
      <c r="B23" s="11"/>
      <c r="C23" s="13" t="s">
        <v>60</v>
      </c>
      <c r="D23" s="14" t="s">
        <v>60</v>
      </c>
      <c r="E23" s="11"/>
      <c r="F23" s="15" t="s">
        <v>4</v>
      </c>
      <c r="G23" s="16">
        <v>99.0</v>
      </c>
      <c r="H23" s="16"/>
      <c r="I23" s="16">
        <v>46809.0</v>
      </c>
      <c r="J23" s="11" t="s">
        <v>61</v>
      </c>
      <c r="K23" s="11" t="s">
        <v>62</v>
      </c>
      <c r="L23" s="18">
        <v>46281.74886574074</v>
      </c>
      <c r="M23" s="18">
        <v>46281.748923611114</v>
      </c>
      <c r="N23" s="11" t="s">
        <v>63</v>
      </c>
      <c r="O23" s="11">
        <v>0.0</v>
      </c>
      <c r="P23" s="11" t="s">
        <v>134</v>
      </c>
      <c r="Q23" s="11" t="s">
        <v>283</v>
      </c>
      <c r="R23" s="11"/>
      <c r="S23" s="11" t="s">
        <v>284</v>
      </c>
      <c r="T23" s="11"/>
      <c r="U23" s="11" t="s">
        <v>256</v>
      </c>
      <c r="V23" s="11" t="s">
        <v>68</v>
      </c>
      <c r="W23" s="11">
        <v>1602.0</v>
      </c>
      <c r="X23" s="11" t="s">
        <v>69</v>
      </c>
      <c r="Y23" s="11" t="s">
        <v>285</v>
      </c>
      <c r="Z23" s="11">
        <v>5.41165078788E11</v>
      </c>
      <c r="AA23" s="11" t="s">
        <v>71</v>
      </c>
      <c r="AB23" s="11"/>
      <c r="AC23" s="11"/>
      <c r="AD23" s="18">
        <v>46281.748923611114</v>
      </c>
      <c r="AE23" s="11" t="s">
        <v>286</v>
      </c>
      <c r="AF23" s="11" t="s">
        <v>287</v>
      </c>
      <c r="AG23" s="18">
        <v>46281.87386574074</v>
      </c>
      <c r="AH23" s="18">
        <v>46281.873923611114</v>
      </c>
      <c r="AI23" s="11"/>
      <c r="AJ23" s="18">
        <v>46281.873923611114</v>
      </c>
      <c r="AK23" s="11">
        <v>18234.0</v>
      </c>
      <c r="AL23" s="21" t="s">
        <v>75</v>
      </c>
      <c r="AM23" s="16"/>
      <c r="AN23" s="16"/>
      <c r="AO23" s="23"/>
      <c r="AP23" s="16" t="s">
        <v>76</v>
      </c>
      <c r="AQ23" s="16">
        <v>4131.0</v>
      </c>
      <c r="AR23" s="16"/>
      <c r="AS23" s="11" t="s">
        <v>240</v>
      </c>
      <c r="AT23" s="11" t="s">
        <v>134</v>
      </c>
      <c r="AU23" s="11" t="s">
        <v>283</v>
      </c>
      <c r="AV23" s="11">
        <v>5.5161477E7</v>
      </c>
      <c r="AW23" s="11" t="s">
        <v>99</v>
      </c>
      <c r="AX23" s="11">
        <v>1.165078788E9</v>
      </c>
      <c r="AY23" s="11" t="s">
        <v>285</v>
      </c>
      <c r="AZ23" s="24">
        <v>42299.0</v>
      </c>
      <c r="BA23" s="11" t="s">
        <v>288</v>
      </c>
      <c r="BB23" s="11" t="s">
        <v>81</v>
      </c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</row>
    <row r="24" ht="19.5" customHeight="1">
      <c r="A24" s="10" t="b">
        <v>0</v>
      </c>
      <c r="B24" s="11"/>
      <c r="C24" s="13" t="s">
        <v>60</v>
      </c>
      <c r="D24" s="14" t="s">
        <v>60</v>
      </c>
      <c r="E24" s="11"/>
      <c r="F24" s="15" t="s">
        <v>4</v>
      </c>
      <c r="G24" s="16">
        <v>106.0</v>
      </c>
      <c r="H24" s="16"/>
      <c r="I24" s="16">
        <v>46817.0</v>
      </c>
      <c r="J24" s="11" t="s">
        <v>61</v>
      </c>
      <c r="K24" s="11" t="s">
        <v>62</v>
      </c>
      <c r="L24" s="18">
        <v>46282.322164351855</v>
      </c>
      <c r="M24" s="18">
        <v>46282.32221064815</v>
      </c>
      <c r="N24" s="11" t="s">
        <v>63</v>
      </c>
      <c r="O24" s="11">
        <v>0.0</v>
      </c>
      <c r="P24" s="11" t="s">
        <v>289</v>
      </c>
      <c r="Q24" s="11" t="s">
        <v>290</v>
      </c>
      <c r="R24" s="11"/>
      <c r="S24" s="11" t="s">
        <v>291</v>
      </c>
      <c r="T24" s="11" t="s">
        <v>292</v>
      </c>
      <c r="U24" s="11" t="s">
        <v>293</v>
      </c>
      <c r="V24" s="11" t="s">
        <v>126</v>
      </c>
      <c r="W24" s="11">
        <v>1425.0</v>
      </c>
      <c r="X24" s="11" t="s">
        <v>69</v>
      </c>
      <c r="Y24" s="11" t="s">
        <v>294</v>
      </c>
      <c r="Z24" s="11">
        <v>1.165882778E9</v>
      </c>
      <c r="AA24" s="11" t="s">
        <v>71</v>
      </c>
      <c r="AB24" s="11"/>
      <c r="AC24" s="11"/>
      <c r="AD24" s="11"/>
      <c r="AE24" s="11" t="s">
        <v>295</v>
      </c>
      <c r="AF24" s="11" t="s">
        <v>296</v>
      </c>
      <c r="AG24" s="18">
        <v>46282.447164351855</v>
      </c>
      <c r="AH24" s="18">
        <v>46282.44721064815</v>
      </c>
      <c r="AI24" s="11"/>
      <c r="AJ24" s="11"/>
      <c r="AK24" s="11">
        <v>18234.0</v>
      </c>
      <c r="AL24" s="21" t="s">
        <v>75</v>
      </c>
      <c r="AM24" s="16"/>
      <c r="AN24" s="16"/>
      <c r="AO24" s="23" t="s">
        <v>297</v>
      </c>
      <c r="AP24" s="16" t="s">
        <v>76</v>
      </c>
      <c r="AQ24" s="16">
        <v>3732.0</v>
      </c>
      <c r="AR24" s="16"/>
      <c r="AS24" s="11" t="s">
        <v>298</v>
      </c>
      <c r="AT24" s="11" t="s">
        <v>299</v>
      </c>
      <c r="AU24" s="11" t="s">
        <v>300</v>
      </c>
      <c r="AV24" s="11">
        <v>5.5687786E7</v>
      </c>
      <c r="AW24" s="11" t="s">
        <v>99</v>
      </c>
      <c r="AX24" s="11">
        <v>1.165882778E9</v>
      </c>
      <c r="AY24" s="11" t="s">
        <v>294</v>
      </c>
      <c r="AZ24" s="24">
        <v>42529.0</v>
      </c>
      <c r="BA24" s="11" t="s">
        <v>301</v>
      </c>
      <c r="BB24" s="11" t="s">
        <v>101</v>
      </c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</row>
    <row r="25" ht="19.5" customHeight="1">
      <c r="A25" s="10" t="b">
        <v>0</v>
      </c>
      <c r="B25" s="11"/>
      <c r="C25" s="13" t="s">
        <v>60</v>
      </c>
      <c r="D25" s="14" t="s">
        <v>60</v>
      </c>
      <c r="E25" s="11"/>
      <c r="F25" s="15" t="s">
        <v>4</v>
      </c>
      <c r="G25" s="16">
        <v>107.0</v>
      </c>
      <c r="H25" s="16"/>
      <c r="I25" s="16">
        <v>46818.0</v>
      </c>
      <c r="J25" s="11" t="s">
        <v>302</v>
      </c>
      <c r="K25" s="11" t="s">
        <v>62</v>
      </c>
      <c r="L25" s="18">
        <v>46282.36273148148</v>
      </c>
      <c r="M25" s="18">
        <v>46282.3628125</v>
      </c>
      <c r="N25" s="11" t="s">
        <v>63</v>
      </c>
      <c r="O25" s="11">
        <v>0.0</v>
      </c>
      <c r="P25" s="11" t="s">
        <v>303</v>
      </c>
      <c r="Q25" s="11" t="s">
        <v>304</v>
      </c>
      <c r="R25" s="11"/>
      <c r="S25" s="11" t="s">
        <v>305</v>
      </c>
      <c r="T25" s="11">
        <v>1529.0</v>
      </c>
      <c r="U25" s="11" t="s">
        <v>306</v>
      </c>
      <c r="V25" s="11" t="s">
        <v>68</v>
      </c>
      <c r="W25" s="11">
        <v>1621.0</v>
      </c>
      <c r="X25" s="11" t="s">
        <v>69</v>
      </c>
      <c r="Y25" s="11" t="s">
        <v>307</v>
      </c>
      <c r="Z25" s="11">
        <v>5.41159880675E11</v>
      </c>
      <c r="AA25" s="11" t="s">
        <v>71</v>
      </c>
      <c r="AB25" s="11"/>
      <c r="AC25" s="11"/>
      <c r="AD25" s="11"/>
      <c r="AE25" s="11" t="s">
        <v>308</v>
      </c>
      <c r="AF25" s="11" t="s">
        <v>309</v>
      </c>
      <c r="AG25" s="18">
        <v>46282.48773148148</v>
      </c>
      <c r="AH25" s="18">
        <v>46282.4878125</v>
      </c>
      <c r="AI25" s="11"/>
      <c r="AJ25" s="11"/>
      <c r="AK25" s="11">
        <v>18234.0</v>
      </c>
      <c r="AL25" s="21" t="s">
        <v>75</v>
      </c>
      <c r="AM25" s="16"/>
      <c r="AN25" s="16"/>
      <c r="AO25" s="23" t="s">
        <v>310</v>
      </c>
      <c r="AP25" s="16" t="s">
        <v>76</v>
      </c>
      <c r="AQ25" s="16">
        <v>3482.0</v>
      </c>
      <c r="AR25" s="16"/>
      <c r="AS25" s="11" t="s">
        <v>110</v>
      </c>
      <c r="AT25" s="11" t="s">
        <v>311</v>
      </c>
      <c r="AU25" s="11" t="s">
        <v>304</v>
      </c>
      <c r="AV25" s="11">
        <v>5.4359057E7</v>
      </c>
      <c r="AW25" s="11" t="s">
        <v>99</v>
      </c>
      <c r="AX25" s="11">
        <v>1.159880675E9</v>
      </c>
      <c r="AY25" s="11" t="s">
        <v>307</v>
      </c>
      <c r="AZ25" s="24">
        <v>41933.0</v>
      </c>
      <c r="BA25" s="11" t="s">
        <v>312</v>
      </c>
      <c r="BB25" s="11" t="s">
        <v>81</v>
      </c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</row>
    <row r="26" ht="19.5" customHeight="1">
      <c r="A26" s="10" t="b">
        <v>0</v>
      </c>
      <c r="B26" s="11"/>
      <c r="C26" s="13" t="s">
        <v>60</v>
      </c>
      <c r="D26" s="14" t="s">
        <v>60</v>
      </c>
      <c r="E26" s="11"/>
      <c r="F26" s="15" t="s">
        <v>4</v>
      </c>
      <c r="G26" s="16">
        <v>108.0</v>
      </c>
      <c r="H26" s="16"/>
      <c r="I26" s="16">
        <v>46819.0</v>
      </c>
      <c r="J26" s="11" t="s">
        <v>61</v>
      </c>
      <c r="K26" s="11" t="s">
        <v>62</v>
      </c>
      <c r="L26" s="18">
        <v>46282.39854166667</v>
      </c>
      <c r="M26" s="18">
        <v>46282.39858796296</v>
      </c>
      <c r="N26" s="11" t="s">
        <v>63</v>
      </c>
      <c r="O26" s="11">
        <v>0.0</v>
      </c>
      <c r="P26" s="11" t="s">
        <v>313</v>
      </c>
      <c r="Q26" s="11" t="s">
        <v>314</v>
      </c>
      <c r="R26" s="11"/>
      <c r="S26" s="11" t="s">
        <v>315</v>
      </c>
      <c r="T26" s="11"/>
      <c r="U26" s="11" t="s">
        <v>316</v>
      </c>
      <c r="V26" s="11" t="s">
        <v>68</v>
      </c>
      <c r="W26" s="11">
        <v>2800.0</v>
      </c>
      <c r="X26" s="11" t="s">
        <v>69</v>
      </c>
      <c r="Y26" s="11" t="s">
        <v>317</v>
      </c>
      <c r="Z26" s="11">
        <v>3.487302617E9</v>
      </c>
      <c r="AA26" s="11" t="s">
        <v>71</v>
      </c>
      <c r="AB26" s="11"/>
      <c r="AC26" s="11"/>
      <c r="AD26" s="18">
        <v>46282.39858796296</v>
      </c>
      <c r="AE26" s="11" t="s">
        <v>318</v>
      </c>
      <c r="AF26" s="11" t="s">
        <v>319</v>
      </c>
      <c r="AG26" s="18">
        <v>46282.52354166667</v>
      </c>
      <c r="AH26" s="18">
        <v>46282.52358796296</v>
      </c>
      <c r="AI26" s="11"/>
      <c r="AJ26" s="18">
        <v>46282.52358796296</v>
      </c>
      <c r="AK26" s="11">
        <v>18234.0</v>
      </c>
      <c r="AL26" s="21" t="s">
        <v>75</v>
      </c>
      <c r="AM26" s="16" t="s">
        <v>95</v>
      </c>
      <c r="AN26" s="16"/>
      <c r="AO26" s="23" t="s">
        <v>320</v>
      </c>
      <c r="AP26" s="16" t="s">
        <v>76</v>
      </c>
      <c r="AQ26" s="16">
        <v>3727.0</v>
      </c>
      <c r="AR26" s="16"/>
      <c r="AS26" s="11" t="s">
        <v>321</v>
      </c>
      <c r="AT26" s="11" t="s">
        <v>322</v>
      </c>
      <c r="AU26" s="11" t="s">
        <v>314</v>
      </c>
      <c r="AV26" s="11">
        <v>5.6178529E7</v>
      </c>
      <c r="AW26" s="11" t="s">
        <v>99</v>
      </c>
      <c r="AX26" s="11">
        <v>3.487302617E9</v>
      </c>
      <c r="AY26" s="11" t="s">
        <v>317</v>
      </c>
      <c r="AZ26" s="24">
        <v>42817.0</v>
      </c>
      <c r="BA26" s="11" t="s">
        <v>323</v>
      </c>
      <c r="BB26" s="11" t="s">
        <v>101</v>
      </c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</row>
    <row r="27" ht="19.5" customHeight="1">
      <c r="A27" s="10" t="b">
        <v>1</v>
      </c>
      <c r="B27" s="42" t="s">
        <v>324</v>
      </c>
      <c r="C27" s="13" t="s">
        <v>60</v>
      </c>
      <c r="D27" s="14" t="s">
        <v>60</v>
      </c>
      <c r="E27" s="11"/>
      <c r="F27" s="15" t="s">
        <v>4</v>
      </c>
      <c r="G27" s="16">
        <v>112.0</v>
      </c>
      <c r="H27" s="16"/>
      <c r="I27" s="16">
        <v>46823.0</v>
      </c>
      <c r="J27" s="11" t="s">
        <v>61</v>
      </c>
      <c r="K27" s="11" t="s">
        <v>62</v>
      </c>
      <c r="L27" s="18">
        <v>46282.43241898148</v>
      </c>
      <c r="M27" s="18">
        <v>46282.43246527778</v>
      </c>
      <c r="N27" s="11" t="s">
        <v>63</v>
      </c>
      <c r="O27" s="11">
        <v>0.0</v>
      </c>
      <c r="P27" s="11" t="s">
        <v>145</v>
      </c>
      <c r="Q27" s="11" t="s">
        <v>325</v>
      </c>
      <c r="R27" s="11"/>
      <c r="S27" s="11" t="s">
        <v>326</v>
      </c>
      <c r="T27" s="11"/>
      <c r="U27" s="11" t="s">
        <v>158</v>
      </c>
      <c r="V27" s="11" t="s">
        <v>68</v>
      </c>
      <c r="W27" s="11">
        <v>1426.0</v>
      </c>
      <c r="X27" s="11" t="s">
        <v>69</v>
      </c>
      <c r="Y27" s="11" t="s">
        <v>327</v>
      </c>
      <c r="Z27" s="11">
        <v>5.41161347543E11</v>
      </c>
      <c r="AA27" s="11" t="s">
        <v>71</v>
      </c>
      <c r="AB27" s="11"/>
      <c r="AC27" s="11"/>
      <c r="AD27" s="18">
        <v>46282.43246527778</v>
      </c>
      <c r="AE27" s="11" t="s">
        <v>328</v>
      </c>
      <c r="AF27" s="11" t="s">
        <v>329</v>
      </c>
      <c r="AG27" s="18">
        <v>46282.55741898148</v>
      </c>
      <c r="AH27" s="18">
        <v>46282.55746527778</v>
      </c>
      <c r="AI27" s="11"/>
      <c r="AJ27" s="18">
        <v>46282.55746527778</v>
      </c>
      <c r="AK27" s="11">
        <v>18234.0</v>
      </c>
      <c r="AL27" s="21" t="s">
        <v>75</v>
      </c>
      <c r="AM27" s="16"/>
      <c r="AN27" s="16"/>
      <c r="AO27" s="23" t="s">
        <v>330</v>
      </c>
      <c r="AP27" s="43" t="s">
        <v>331</v>
      </c>
      <c r="AQ27" s="16">
        <v>4905.0</v>
      </c>
      <c r="AR27" s="16"/>
      <c r="AS27" s="11" t="s">
        <v>240</v>
      </c>
      <c r="AT27" s="11" t="s">
        <v>260</v>
      </c>
      <c r="AU27" s="11" t="s">
        <v>325</v>
      </c>
      <c r="AV27" s="11">
        <v>5.5391838E7</v>
      </c>
      <c r="AW27" s="11" t="s">
        <v>99</v>
      </c>
      <c r="AX27" s="11">
        <v>5.491161347543E12</v>
      </c>
      <c r="AY27" s="11" t="s">
        <v>327</v>
      </c>
      <c r="AZ27" s="24">
        <v>42397.0</v>
      </c>
      <c r="BA27" s="11" t="s">
        <v>100</v>
      </c>
      <c r="BB27" s="11" t="s">
        <v>101</v>
      </c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</row>
    <row r="28" ht="19.5" customHeight="1">
      <c r="A28" s="10" t="b">
        <v>0</v>
      </c>
      <c r="B28" s="11"/>
      <c r="C28" s="13" t="s">
        <v>60</v>
      </c>
      <c r="D28" s="14" t="s">
        <v>60</v>
      </c>
      <c r="E28" s="11"/>
      <c r="F28" s="15" t="s">
        <v>4</v>
      </c>
      <c r="G28" s="16">
        <v>119.0</v>
      </c>
      <c r="H28" s="16"/>
      <c r="I28" s="16">
        <v>46830.0</v>
      </c>
      <c r="J28" s="11" t="s">
        <v>61</v>
      </c>
      <c r="K28" s="11" t="s">
        <v>62</v>
      </c>
      <c r="L28" s="18">
        <v>46282.624293981484</v>
      </c>
      <c r="M28" s="18">
        <v>46282.62435185185</v>
      </c>
      <c r="N28" s="11" t="s">
        <v>63</v>
      </c>
      <c r="O28" s="11">
        <v>0.0</v>
      </c>
      <c r="P28" s="11" t="s">
        <v>332</v>
      </c>
      <c r="Q28" s="11" t="s">
        <v>333</v>
      </c>
      <c r="R28" s="11"/>
      <c r="S28" s="11" t="s">
        <v>334</v>
      </c>
      <c r="T28" s="11"/>
      <c r="U28" s="11" t="s">
        <v>256</v>
      </c>
      <c r="V28" s="11" t="s">
        <v>68</v>
      </c>
      <c r="W28" s="11">
        <v>1638.0</v>
      </c>
      <c r="X28" s="11" t="s">
        <v>69</v>
      </c>
      <c r="Y28" s="11" t="s">
        <v>335</v>
      </c>
      <c r="Z28" s="11">
        <v>1.132754676E9</v>
      </c>
      <c r="AA28" s="11" t="s">
        <v>71</v>
      </c>
      <c r="AB28" s="11"/>
      <c r="AC28" s="11"/>
      <c r="AD28" s="18">
        <v>46282.62435185185</v>
      </c>
      <c r="AE28" s="11" t="s">
        <v>336</v>
      </c>
      <c r="AF28" s="11" t="s">
        <v>337</v>
      </c>
      <c r="AG28" s="18">
        <v>46282.749293981484</v>
      </c>
      <c r="AH28" s="18">
        <v>46282.74935185185</v>
      </c>
      <c r="AI28" s="11"/>
      <c r="AJ28" s="18">
        <v>46282.74935185185</v>
      </c>
      <c r="AK28" s="11">
        <v>18234.0</v>
      </c>
      <c r="AL28" s="21" t="s">
        <v>75</v>
      </c>
      <c r="AM28" s="16"/>
      <c r="AN28" s="16"/>
      <c r="AO28" s="23" t="s">
        <v>250</v>
      </c>
      <c r="AP28" s="16" t="s">
        <v>76</v>
      </c>
      <c r="AQ28" s="16">
        <v>3185.0</v>
      </c>
      <c r="AR28" s="16"/>
      <c r="AS28" s="11" t="s">
        <v>110</v>
      </c>
      <c r="AT28" s="11" t="s">
        <v>338</v>
      </c>
      <c r="AU28" s="11" t="s">
        <v>333</v>
      </c>
      <c r="AV28" s="11">
        <v>5.3472788E7</v>
      </c>
      <c r="AW28" s="11" t="s">
        <v>99</v>
      </c>
      <c r="AX28" s="11">
        <v>1.132754676E9</v>
      </c>
      <c r="AY28" s="11" t="s">
        <v>335</v>
      </c>
      <c r="AZ28" s="30">
        <v>41775.0</v>
      </c>
      <c r="BA28" s="11" t="s">
        <v>252</v>
      </c>
      <c r="BB28" s="11" t="s">
        <v>81</v>
      </c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</row>
    <row r="29" ht="19.5" customHeight="1">
      <c r="A29" s="10" t="b">
        <v>0</v>
      </c>
      <c r="B29" s="11"/>
      <c r="C29" s="13" t="s">
        <v>60</v>
      </c>
      <c r="D29" s="14" t="s">
        <v>60</v>
      </c>
      <c r="E29" s="11"/>
      <c r="F29" s="15" t="s">
        <v>4</v>
      </c>
      <c r="G29" s="16">
        <v>128.0</v>
      </c>
      <c r="H29" s="16"/>
      <c r="I29" s="16">
        <v>46838.0</v>
      </c>
      <c r="J29" s="11" t="s">
        <v>61</v>
      </c>
      <c r="K29" s="11" t="s">
        <v>62</v>
      </c>
      <c r="L29" s="18">
        <v>46282.71884259259</v>
      </c>
      <c r="M29" s="18">
        <v>46282.71892361111</v>
      </c>
      <c r="N29" s="11" t="s">
        <v>63</v>
      </c>
      <c r="O29" s="11">
        <v>0.0</v>
      </c>
      <c r="P29" s="11" t="s">
        <v>339</v>
      </c>
      <c r="Q29" s="11" t="s">
        <v>340</v>
      </c>
      <c r="R29" s="11"/>
      <c r="S29" s="11" t="s">
        <v>341</v>
      </c>
      <c r="T29" s="11">
        <v>1170.0</v>
      </c>
      <c r="U29" s="11" t="s">
        <v>342</v>
      </c>
      <c r="V29" s="11" t="s">
        <v>68</v>
      </c>
      <c r="W29" s="11">
        <v>1625.0</v>
      </c>
      <c r="X29" s="11" t="s">
        <v>69</v>
      </c>
      <c r="Y29" s="11" t="s">
        <v>343</v>
      </c>
      <c r="Z29" s="11">
        <v>1.130083182E9</v>
      </c>
      <c r="AA29" s="11" t="s">
        <v>71</v>
      </c>
      <c r="AB29" s="11"/>
      <c r="AC29" s="11"/>
      <c r="AD29" s="18">
        <v>46282.71892361111</v>
      </c>
      <c r="AE29" s="11" t="s">
        <v>344</v>
      </c>
      <c r="AF29" s="11" t="s">
        <v>345</v>
      </c>
      <c r="AG29" s="18">
        <v>46282.84384259259</v>
      </c>
      <c r="AH29" s="18">
        <v>46282.84392361111</v>
      </c>
      <c r="AI29" s="11"/>
      <c r="AJ29" s="18">
        <v>46282.84392361111</v>
      </c>
      <c r="AK29" s="11">
        <v>18234.0</v>
      </c>
      <c r="AL29" s="21" t="s">
        <v>75</v>
      </c>
      <c r="AM29" s="16"/>
      <c r="AN29" s="14" t="s">
        <v>39</v>
      </c>
      <c r="AO29" s="23"/>
      <c r="AP29" s="16" t="s">
        <v>76</v>
      </c>
      <c r="AQ29" s="16">
        <v>4114.0</v>
      </c>
      <c r="AR29" s="16"/>
      <c r="AS29" s="11" t="s">
        <v>240</v>
      </c>
      <c r="AT29" s="11" t="s">
        <v>346</v>
      </c>
      <c r="AU29" s="11" t="s">
        <v>347</v>
      </c>
      <c r="AV29" s="11">
        <v>5.4382176E7</v>
      </c>
      <c r="AW29" s="11" t="s">
        <v>79</v>
      </c>
      <c r="AX29" s="11">
        <v>1.130083182E9</v>
      </c>
      <c r="AY29" s="11" t="s">
        <v>343</v>
      </c>
      <c r="AZ29" s="24">
        <v>41936.0</v>
      </c>
      <c r="BA29" s="11" t="s">
        <v>348</v>
      </c>
      <c r="BB29" s="11" t="s">
        <v>349</v>
      </c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</row>
    <row r="30" ht="19.5" customHeight="1">
      <c r="A30" s="10" t="b">
        <v>0</v>
      </c>
      <c r="B30" s="11"/>
      <c r="C30" s="13" t="s">
        <v>60</v>
      </c>
      <c r="D30" s="14" t="s">
        <v>60</v>
      </c>
      <c r="E30" s="11"/>
      <c r="F30" s="15" t="s">
        <v>4</v>
      </c>
      <c r="G30" s="16">
        <v>139.0</v>
      </c>
      <c r="H30" s="16"/>
      <c r="I30" s="16">
        <v>46850.0</v>
      </c>
      <c r="J30" s="11" t="s">
        <v>61</v>
      </c>
      <c r="K30" s="11" t="s">
        <v>62</v>
      </c>
      <c r="L30" s="18">
        <v>46282.865208333336</v>
      </c>
      <c r="M30" s="18">
        <v>46282.865266203706</v>
      </c>
      <c r="N30" s="11" t="s">
        <v>63</v>
      </c>
      <c r="O30" s="11">
        <v>0.0</v>
      </c>
      <c r="P30" s="11" t="s">
        <v>200</v>
      </c>
      <c r="Q30" s="11" t="s">
        <v>350</v>
      </c>
      <c r="R30" s="11"/>
      <c r="S30" s="11" t="s">
        <v>351</v>
      </c>
      <c r="T30" s="11"/>
      <c r="U30" s="11" t="s">
        <v>158</v>
      </c>
      <c r="V30" s="11" t="s">
        <v>68</v>
      </c>
      <c r="W30" s="11" t="s">
        <v>352</v>
      </c>
      <c r="X30" s="11" t="s">
        <v>69</v>
      </c>
      <c r="Y30" s="11" t="s">
        <v>353</v>
      </c>
      <c r="Z30" s="11">
        <v>1.149809784E9</v>
      </c>
      <c r="AA30" s="11" t="s">
        <v>71</v>
      </c>
      <c r="AB30" s="11"/>
      <c r="AC30" s="11"/>
      <c r="AD30" s="18">
        <v>46282.865266203706</v>
      </c>
      <c r="AE30" s="11" t="s">
        <v>354</v>
      </c>
      <c r="AF30" s="11" t="s">
        <v>355</v>
      </c>
      <c r="AG30" s="18">
        <v>46282.990208333336</v>
      </c>
      <c r="AH30" s="18">
        <v>46282.990266203706</v>
      </c>
      <c r="AI30" s="11"/>
      <c r="AJ30" s="18">
        <v>46282.990266203706</v>
      </c>
      <c r="AK30" s="11">
        <v>18234.0</v>
      </c>
      <c r="AL30" s="21" t="s">
        <v>75</v>
      </c>
      <c r="AM30" s="16"/>
      <c r="AN30" s="14" t="s">
        <v>39</v>
      </c>
      <c r="AO30" s="23" t="s">
        <v>356</v>
      </c>
      <c r="AP30" s="16" t="s">
        <v>76</v>
      </c>
      <c r="AQ30" s="16">
        <v>3705.0</v>
      </c>
      <c r="AR30" s="16"/>
      <c r="AS30" s="10" t="s">
        <v>357</v>
      </c>
      <c r="AT30" s="11" t="s">
        <v>358</v>
      </c>
      <c r="AU30" s="11" t="s">
        <v>350</v>
      </c>
      <c r="AV30" s="11">
        <v>5.3085243E7</v>
      </c>
      <c r="AW30" s="11" t="s">
        <v>79</v>
      </c>
      <c r="AX30" s="11">
        <v>1.149809784E9</v>
      </c>
      <c r="AY30" s="11" t="s">
        <v>353</v>
      </c>
      <c r="AZ30" s="24">
        <v>41321.0</v>
      </c>
      <c r="BA30" s="11" t="s">
        <v>144</v>
      </c>
      <c r="BB30" s="11" t="s">
        <v>349</v>
      </c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</row>
    <row r="31" ht="19.5" customHeight="1">
      <c r="A31" s="10" t="b">
        <v>0</v>
      </c>
      <c r="B31" s="11"/>
      <c r="C31" s="13" t="s">
        <v>60</v>
      </c>
      <c r="D31" s="14" t="s">
        <v>60</v>
      </c>
      <c r="E31" s="11"/>
      <c r="F31" s="15" t="s">
        <v>4</v>
      </c>
      <c r="G31" s="16">
        <v>141.0</v>
      </c>
      <c r="H31" s="16"/>
      <c r="I31" s="16">
        <v>46852.0</v>
      </c>
      <c r="J31" s="11" t="s">
        <v>61</v>
      </c>
      <c r="K31" s="11" t="s">
        <v>62</v>
      </c>
      <c r="L31" s="18">
        <v>46282.87369212963</v>
      </c>
      <c r="M31" s="18">
        <v>46282.873761574076</v>
      </c>
      <c r="N31" s="11" t="s">
        <v>63</v>
      </c>
      <c r="O31" s="11">
        <v>0.0</v>
      </c>
      <c r="P31" s="11" t="s">
        <v>359</v>
      </c>
      <c r="Q31" s="11" t="s">
        <v>360</v>
      </c>
      <c r="R31" s="11"/>
      <c r="S31" s="11" t="s">
        <v>361</v>
      </c>
      <c r="T31" s="11"/>
      <c r="U31" s="11" t="s">
        <v>362</v>
      </c>
      <c r="V31" s="11" t="s">
        <v>126</v>
      </c>
      <c r="W31" s="11">
        <v>1428.0</v>
      </c>
      <c r="X31" s="11" t="s">
        <v>69</v>
      </c>
      <c r="Y31" s="11" t="s">
        <v>363</v>
      </c>
      <c r="Z31" s="11">
        <v>1.135638055E9</v>
      </c>
      <c r="AA31" s="11" t="s">
        <v>71</v>
      </c>
      <c r="AB31" s="11"/>
      <c r="AC31" s="11"/>
      <c r="AD31" s="11"/>
      <c r="AE31" s="11" t="s">
        <v>364</v>
      </c>
      <c r="AF31" s="11" t="s">
        <v>365</v>
      </c>
      <c r="AG31" s="18">
        <v>46282.99869212963</v>
      </c>
      <c r="AH31" s="18">
        <v>46282.998761574076</v>
      </c>
      <c r="AI31" s="11"/>
      <c r="AJ31" s="11"/>
      <c r="AK31" s="11">
        <v>18234.0</v>
      </c>
      <c r="AL31" s="21" t="s">
        <v>75</v>
      </c>
      <c r="AM31" s="16"/>
      <c r="AN31" s="14" t="s">
        <v>39</v>
      </c>
      <c r="AO31" s="23"/>
      <c r="AP31" s="16" t="s">
        <v>76</v>
      </c>
      <c r="AQ31" s="16">
        <v>3512.0</v>
      </c>
      <c r="AR31" s="16"/>
      <c r="AS31" s="11" t="s">
        <v>110</v>
      </c>
      <c r="AT31" s="11" t="s">
        <v>359</v>
      </c>
      <c r="AU31" s="11" t="s">
        <v>360</v>
      </c>
      <c r="AV31" s="11">
        <v>5.316886E7</v>
      </c>
      <c r="AW31" s="11" t="s">
        <v>79</v>
      </c>
      <c r="AX31" s="11">
        <v>1.135638055E9</v>
      </c>
      <c r="AY31" s="11" t="s">
        <v>363</v>
      </c>
      <c r="AZ31" s="31">
        <v>41347.0</v>
      </c>
      <c r="BA31" s="11" t="s">
        <v>144</v>
      </c>
      <c r="BB31" s="11" t="s">
        <v>101</v>
      </c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</row>
    <row r="32" ht="19.5" customHeight="1">
      <c r="A32" s="10" t="b">
        <v>0</v>
      </c>
      <c r="B32" s="11"/>
      <c r="C32" s="13" t="s">
        <v>60</v>
      </c>
      <c r="D32" s="14" t="s">
        <v>60</v>
      </c>
      <c r="E32" s="11"/>
      <c r="F32" s="15" t="s">
        <v>4</v>
      </c>
      <c r="G32" s="16">
        <v>148.0</v>
      </c>
      <c r="H32" s="16"/>
      <c r="I32" s="16">
        <v>46859.0</v>
      </c>
      <c r="J32" s="11" t="s">
        <v>61</v>
      </c>
      <c r="K32" s="11" t="s">
        <v>62</v>
      </c>
      <c r="L32" s="18">
        <v>46283.4084375</v>
      </c>
      <c r="M32" s="18">
        <v>46283.408472222225</v>
      </c>
      <c r="N32" s="11" t="s">
        <v>63</v>
      </c>
      <c r="O32" s="11">
        <v>0.0</v>
      </c>
      <c r="P32" s="11" t="s">
        <v>366</v>
      </c>
      <c r="Q32" s="11" t="s">
        <v>367</v>
      </c>
      <c r="R32" s="11"/>
      <c r="S32" s="11" t="s">
        <v>368</v>
      </c>
      <c r="T32" s="11"/>
      <c r="U32" s="11" t="s">
        <v>369</v>
      </c>
      <c r="V32" s="11" t="s">
        <v>68</v>
      </c>
      <c r="W32" s="11">
        <v>1648.0</v>
      </c>
      <c r="X32" s="11" t="s">
        <v>69</v>
      </c>
      <c r="Y32" s="11" t="s">
        <v>370</v>
      </c>
      <c r="Z32" s="11">
        <v>1.131163462E9</v>
      </c>
      <c r="AA32" s="11" t="s">
        <v>71</v>
      </c>
      <c r="AB32" s="11"/>
      <c r="AC32" s="11"/>
      <c r="AD32" s="11"/>
      <c r="AE32" s="11" t="s">
        <v>371</v>
      </c>
      <c r="AF32" s="11" t="s">
        <v>372</v>
      </c>
      <c r="AG32" s="18">
        <v>46283.5334375</v>
      </c>
      <c r="AH32" s="18">
        <v>46283.533472222225</v>
      </c>
      <c r="AI32" s="11"/>
      <c r="AJ32" s="11"/>
      <c r="AK32" s="11">
        <v>18234.0</v>
      </c>
      <c r="AL32" s="21" t="s">
        <v>75</v>
      </c>
      <c r="AM32" s="16" t="s">
        <v>95</v>
      </c>
      <c r="AN32" s="16"/>
      <c r="AO32" s="23" t="s">
        <v>373</v>
      </c>
      <c r="AP32" s="16" t="s">
        <v>76</v>
      </c>
      <c r="AQ32" s="16">
        <v>3295.0</v>
      </c>
      <c r="AR32" s="16"/>
      <c r="AS32" s="11" t="s">
        <v>374</v>
      </c>
      <c r="AT32" s="11" t="s">
        <v>375</v>
      </c>
      <c r="AU32" s="11" t="s">
        <v>376</v>
      </c>
      <c r="AV32" s="11">
        <v>5.7215862E7</v>
      </c>
      <c r="AW32" s="11" t="s">
        <v>99</v>
      </c>
      <c r="AX32" s="11">
        <v>1.131163462E9</v>
      </c>
      <c r="AY32" s="11" t="s">
        <v>370</v>
      </c>
      <c r="AZ32" s="24">
        <v>43293.0</v>
      </c>
      <c r="BA32" s="11" t="s">
        <v>144</v>
      </c>
      <c r="BB32" s="11" t="s">
        <v>101</v>
      </c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</row>
    <row r="33" ht="19.5" customHeight="1">
      <c r="A33" s="10" t="b">
        <v>0</v>
      </c>
      <c r="B33" s="11"/>
      <c r="C33" s="13" t="s">
        <v>59</v>
      </c>
      <c r="D33" s="14" t="s">
        <v>60</v>
      </c>
      <c r="E33" s="11"/>
      <c r="F33" s="15" t="s">
        <v>4</v>
      </c>
      <c r="G33" s="16">
        <v>150.0</v>
      </c>
      <c r="H33" s="16"/>
      <c r="I33" s="16">
        <v>46861.0</v>
      </c>
      <c r="J33" s="11" t="s">
        <v>61</v>
      </c>
      <c r="K33" s="11" t="s">
        <v>62</v>
      </c>
      <c r="L33" s="18">
        <v>46283.42528935185</v>
      </c>
      <c r="M33" s="18">
        <v>46283.425358796296</v>
      </c>
      <c r="N33" s="11" t="s">
        <v>133</v>
      </c>
      <c r="O33" s="11">
        <v>0.0</v>
      </c>
      <c r="P33" s="11" t="s">
        <v>377</v>
      </c>
      <c r="Q33" s="11" t="s">
        <v>378</v>
      </c>
      <c r="R33" s="11"/>
      <c r="S33" s="11" t="s">
        <v>379</v>
      </c>
      <c r="T33" s="11"/>
      <c r="U33" s="11" t="s">
        <v>380</v>
      </c>
      <c r="V33" s="11" t="s">
        <v>68</v>
      </c>
      <c r="W33" s="11">
        <v>1602.0</v>
      </c>
      <c r="X33" s="11" t="s">
        <v>69</v>
      </c>
      <c r="Y33" s="11" t="s">
        <v>381</v>
      </c>
      <c r="Z33" s="11">
        <v>5.491155779228E12</v>
      </c>
      <c r="AA33" s="11" t="s">
        <v>71</v>
      </c>
      <c r="AB33" s="11"/>
      <c r="AC33" s="11"/>
      <c r="AD33" s="18">
        <v>46283.425358796296</v>
      </c>
      <c r="AE33" s="11" t="s">
        <v>382</v>
      </c>
      <c r="AF33" s="11" t="s">
        <v>383</v>
      </c>
      <c r="AG33" s="18">
        <v>46283.55028935185</v>
      </c>
      <c r="AH33" s="18">
        <v>46283.550358796296</v>
      </c>
      <c r="AI33" s="11"/>
      <c r="AJ33" s="18">
        <v>46283.550358796296</v>
      </c>
      <c r="AK33" s="11">
        <v>18234.0</v>
      </c>
      <c r="AL33" s="21" t="s">
        <v>75</v>
      </c>
      <c r="AM33" s="16"/>
      <c r="AN33" s="14" t="s">
        <v>39</v>
      </c>
      <c r="AO33" s="23"/>
      <c r="AP33" s="16" t="s">
        <v>76</v>
      </c>
      <c r="AQ33" s="16">
        <v>3994.0</v>
      </c>
      <c r="AR33" s="16"/>
      <c r="AS33" s="11" t="s">
        <v>269</v>
      </c>
      <c r="AT33" s="11" t="s">
        <v>111</v>
      </c>
      <c r="AU33" s="11" t="s">
        <v>378</v>
      </c>
      <c r="AV33" s="11">
        <v>5.3336003E7</v>
      </c>
      <c r="AW33" s="11" t="s">
        <v>79</v>
      </c>
      <c r="AX33" s="11">
        <v>5.491155779228E12</v>
      </c>
      <c r="AY33" s="11" t="s">
        <v>381</v>
      </c>
      <c r="AZ33" s="24">
        <v>41465.0</v>
      </c>
      <c r="BA33" s="11" t="s">
        <v>100</v>
      </c>
      <c r="BB33" s="11" t="s">
        <v>349</v>
      </c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</row>
    <row r="34" ht="19.5" customHeight="1">
      <c r="A34" s="10" t="b">
        <v>0</v>
      </c>
      <c r="B34" s="11"/>
      <c r="C34" s="13" t="s">
        <v>60</v>
      </c>
      <c r="D34" s="14" t="s">
        <v>60</v>
      </c>
      <c r="E34" s="11"/>
      <c r="F34" s="15" t="s">
        <v>4</v>
      </c>
      <c r="G34" s="16">
        <v>154.0</v>
      </c>
      <c r="H34" s="16"/>
      <c r="I34" s="16">
        <v>46865.0</v>
      </c>
      <c r="J34" s="11" t="s">
        <v>61</v>
      </c>
      <c r="K34" s="11" t="s">
        <v>62</v>
      </c>
      <c r="L34" s="18">
        <v>46283.443194444444</v>
      </c>
      <c r="M34" s="18">
        <v>46283.443240740744</v>
      </c>
      <c r="N34" s="11" t="s">
        <v>63</v>
      </c>
      <c r="O34" s="11">
        <v>0.0</v>
      </c>
      <c r="P34" s="11" t="s">
        <v>154</v>
      </c>
      <c r="Q34" s="11" t="s">
        <v>384</v>
      </c>
      <c r="R34" s="11"/>
      <c r="S34" s="11" t="s">
        <v>385</v>
      </c>
      <c r="T34" s="11" t="s">
        <v>386</v>
      </c>
      <c r="U34" s="11" t="s">
        <v>362</v>
      </c>
      <c r="V34" s="11" t="s">
        <v>126</v>
      </c>
      <c r="W34" s="11">
        <v>1416.0</v>
      </c>
      <c r="X34" s="11" t="s">
        <v>69</v>
      </c>
      <c r="Y34" s="11" t="s">
        <v>387</v>
      </c>
      <c r="Z34" s="11">
        <v>1.148898749E9</v>
      </c>
      <c r="AA34" s="11" t="s">
        <v>71</v>
      </c>
      <c r="AB34" s="11"/>
      <c r="AC34" s="11"/>
      <c r="AD34" s="18">
        <v>46283.443240740744</v>
      </c>
      <c r="AE34" s="11" t="s">
        <v>388</v>
      </c>
      <c r="AF34" s="11" t="s">
        <v>389</v>
      </c>
      <c r="AG34" s="18">
        <v>46283.568194444444</v>
      </c>
      <c r="AH34" s="18">
        <v>46283.568240740744</v>
      </c>
      <c r="AI34" s="11"/>
      <c r="AJ34" s="18">
        <v>46283.568240740744</v>
      </c>
      <c r="AK34" s="11">
        <v>18234.0</v>
      </c>
      <c r="AL34" s="21" t="s">
        <v>75</v>
      </c>
      <c r="AM34" s="16"/>
      <c r="AN34" s="14" t="s">
        <v>39</v>
      </c>
      <c r="AO34" s="23"/>
      <c r="AP34" s="16" t="s">
        <v>76</v>
      </c>
      <c r="AQ34" s="16">
        <v>4088.0</v>
      </c>
      <c r="AR34" s="16"/>
      <c r="AS34" s="11" t="s">
        <v>298</v>
      </c>
      <c r="AT34" s="11" t="s">
        <v>241</v>
      </c>
      <c r="AU34" s="11" t="s">
        <v>384</v>
      </c>
      <c r="AV34" s="11">
        <v>2.8861177E7</v>
      </c>
      <c r="AW34" s="11" t="s">
        <v>79</v>
      </c>
      <c r="AX34" s="11">
        <v>1.148898749E9</v>
      </c>
      <c r="AY34" s="11" t="s">
        <v>387</v>
      </c>
      <c r="AZ34" s="24">
        <v>41856.0</v>
      </c>
      <c r="BA34" s="11" t="s">
        <v>390</v>
      </c>
      <c r="BB34" s="11" t="s">
        <v>101</v>
      </c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</row>
    <row r="35" ht="19.5" customHeight="1">
      <c r="A35" s="10" t="b">
        <v>0</v>
      </c>
      <c r="B35" s="11"/>
      <c r="C35" s="13" t="s">
        <v>60</v>
      </c>
      <c r="D35" s="14" t="s">
        <v>60</v>
      </c>
      <c r="E35" s="11"/>
      <c r="F35" s="15" t="s">
        <v>4</v>
      </c>
      <c r="G35" s="16">
        <v>156.0</v>
      </c>
      <c r="H35" s="16"/>
      <c r="I35" s="16">
        <v>46867.0</v>
      </c>
      <c r="J35" s="11" t="s">
        <v>61</v>
      </c>
      <c r="K35" s="11" t="s">
        <v>62</v>
      </c>
      <c r="L35" s="18">
        <v>46283.48273148148</v>
      </c>
      <c r="M35" s="18">
        <v>46283.48278935185</v>
      </c>
      <c r="N35" s="11" t="s">
        <v>63</v>
      </c>
      <c r="O35" s="11">
        <v>0.0</v>
      </c>
      <c r="P35" s="11" t="s">
        <v>391</v>
      </c>
      <c r="Q35" s="11" t="s">
        <v>392</v>
      </c>
      <c r="R35" s="11"/>
      <c r="S35" s="11" t="s">
        <v>393</v>
      </c>
      <c r="T35" s="11" t="s">
        <v>394</v>
      </c>
      <c r="U35" s="11" t="s">
        <v>395</v>
      </c>
      <c r="V35" s="11" t="s">
        <v>126</v>
      </c>
      <c r="W35" s="11">
        <v>1431.0</v>
      </c>
      <c r="X35" s="11" t="s">
        <v>69</v>
      </c>
      <c r="Y35" s="11" t="s">
        <v>396</v>
      </c>
      <c r="Z35" s="11">
        <v>1.156175319E9</v>
      </c>
      <c r="AA35" s="11" t="s">
        <v>71</v>
      </c>
      <c r="AB35" s="11"/>
      <c r="AC35" s="11"/>
      <c r="AD35" s="18">
        <v>46283.48278935185</v>
      </c>
      <c r="AE35" s="11" t="s">
        <v>397</v>
      </c>
      <c r="AF35" s="11" t="s">
        <v>398</v>
      </c>
      <c r="AG35" s="18">
        <v>46283.60773148148</v>
      </c>
      <c r="AH35" s="18">
        <v>46283.60778935185</v>
      </c>
      <c r="AI35" s="11"/>
      <c r="AJ35" s="18">
        <v>46283.60778935185</v>
      </c>
      <c r="AK35" s="11">
        <v>18234.0</v>
      </c>
      <c r="AL35" s="21" t="s">
        <v>75</v>
      </c>
      <c r="AM35" s="16"/>
      <c r="AN35" s="14" t="s">
        <v>39</v>
      </c>
      <c r="AO35" s="23" t="s">
        <v>399</v>
      </c>
      <c r="AP35" s="16" t="s">
        <v>76</v>
      </c>
      <c r="AQ35" s="16">
        <v>3775.0</v>
      </c>
      <c r="AR35" s="16"/>
      <c r="AS35" s="11" t="s">
        <v>298</v>
      </c>
      <c r="AT35" s="11" t="s">
        <v>400</v>
      </c>
      <c r="AU35" s="11" t="s">
        <v>401</v>
      </c>
      <c r="AV35" s="11">
        <v>5.4998815E7</v>
      </c>
      <c r="AW35" s="11" t="s">
        <v>79</v>
      </c>
      <c r="AX35" s="11">
        <v>1.156175319E9</v>
      </c>
      <c r="AY35" s="11" t="s">
        <v>396</v>
      </c>
      <c r="AZ35" s="24">
        <v>42214.0</v>
      </c>
      <c r="BA35" s="11" t="s">
        <v>100</v>
      </c>
      <c r="BB35" s="11" t="s">
        <v>101</v>
      </c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</row>
    <row r="36" ht="19.5" customHeight="1">
      <c r="A36" s="10" t="b">
        <v>0</v>
      </c>
      <c r="B36" s="11"/>
      <c r="C36" s="13" t="s">
        <v>59</v>
      </c>
      <c r="D36" s="14" t="s">
        <v>59</v>
      </c>
      <c r="E36" s="11"/>
      <c r="F36" s="15" t="s">
        <v>4</v>
      </c>
      <c r="G36" s="16">
        <v>159.0</v>
      </c>
      <c r="H36" s="16"/>
      <c r="I36" s="16">
        <v>46870.0</v>
      </c>
      <c r="J36" s="11" t="s">
        <v>402</v>
      </c>
      <c r="K36" s="11" t="s">
        <v>62</v>
      </c>
      <c r="L36" s="18">
        <v>46283.49627314815</v>
      </c>
      <c r="M36" s="18">
        <v>46283.49627314815</v>
      </c>
      <c r="N36" s="11" t="s">
        <v>63</v>
      </c>
      <c r="O36" s="11">
        <v>0.0</v>
      </c>
      <c r="P36" s="11" t="s">
        <v>403</v>
      </c>
      <c r="Q36" s="11" t="s">
        <v>404</v>
      </c>
      <c r="R36" s="11"/>
      <c r="S36" s="11" t="s">
        <v>405</v>
      </c>
      <c r="T36" s="11" t="s">
        <v>406</v>
      </c>
      <c r="U36" s="11" t="s">
        <v>362</v>
      </c>
      <c r="V36" s="11" t="s">
        <v>126</v>
      </c>
      <c r="W36" s="11">
        <v>1091.0</v>
      </c>
      <c r="X36" s="11" t="s">
        <v>69</v>
      </c>
      <c r="Y36" s="11" t="s">
        <v>407</v>
      </c>
      <c r="Z36" s="11">
        <v>1.132363666E9</v>
      </c>
      <c r="AA36" s="11" t="s">
        <v>71</v>
      </c>
      <c r="AB36" s="11"/>
      <c r="AC36" s="11"/>
      <c r="AD36" s="11"/>
      <c r="AE36" s="11" t="s">
        <v>408</v>
      </c>
      <c r="AF36" s="11" t="s">
        <v>409</v>
      </c>
      <c r="AG36" s="18">
        <v>46283.62127314815</v>
      </c>
      <c r="AH36" s="18">
        <v>46283.62127314815</v>
      </c>
      <c r="AI36" s="11"/>
      <c r="AJ36" s="11"/>
      <c r="AK36" s="11">
        <v>18234.0</v>
      </c>
      <c r="AL36" s="21" t="s">
        <v>75</v>
      </c>
      <c r="AM36" s="16"/>
      <c r="AN36" s="16"/>
      <c r="AO36" s="23" t="s">
        <v>410</v>
      </c>
      <c r="AP36" s="16" t="s">
        <v>76</v>
      </c>
      <c r="AQ36" s="16">
        <v>3820.0</v>
      </c>
      <c r="AR36" s="16"/>
      <c r="AS36" s="11" t="s">
        <v>269</v>
      </c>
      <c r="AT36" s="11" t="s">
        <v>411</v>
      </c>
      <c r="AU36" s="11" t="s">
        <v>404</v>
      </c>
      <c r="AV36" s="11">
        <v>5.4286019E7</v>
      </c>
      <c r="AW36" s="11" t="s">
        <v>99</v>
      </c>
      <c r="AX36" s="11">
        <v>1.132363666E9</v>
      </c>
      <c r="AY36" s="11" t="s">
        <v>407</v>
      </c>
      <c r="AZ36" s="24">
        <v>41901.0</v>
      </c>
      <c r="BA36" s="11" t="s">
        <v>144</v>
      </c>
      <c r="BB36" s="11" t="s">
        <v>81</v>
      </c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</row>
    <row r="37" ht="19.5" customHeight="1">
      <c r="A37" s="10" t="b">
        <v>0</v>
      </c>
      <c r="B37" s="11"/>
      <c r="C37" s="13" t="s">
        <v>59</v>
      </c>
      <c r="D37" s="14" t="s">
        <v>60</v>
      </c>
      <c r="E37" s="11"/>
      <c r="F37" s="15" t="s">
        <v>4</v>
      </c>
      <c r="G37" s="16">
        <v>160.0</v>
      </c>
      <c r="H37" s="16"/>
      <c r="I37" s="16">
        <v>46871.0</v>
      </c>
      <c r="J37" s="11" t="s">
        <v>61</v>
      </c>
      <c r="K37" s="11" t="s">
        <v>62</v>
      </c>
      <c r="L37" s="18">
        <v>46283.50262731482</v>
      </c>
      <c r="M37" s="18">
        <v>46283.50262731482</v>
      </c>
      <c r="N37" s="11" t="s">
        <v>63</v>
      </c>
      <c r="O37" s="11">
        <v>0.0</v>
      </c>
      <c r="P37" s="11" t="s">
        <v>377</v>
      </c>
      <c r="Q37" s="11" t="s">
        <v>378</v>
      </c>
      <c r="R37" s="11"/>
      <c r="S37" s="11" t="s">
        <v>379</v>
      </c>
      <c r="T37" s="11"/>
      <c r="U37" s="11" t="s">
        <v>158</v>
      </c>
      <c r="V37" s="11" t="s">
        <v>68</v>
      </c>
      <c r="W37" s="11">
        <v>1602.0</v>
      </c>
      <c r="X37" s="11" t="s">
        <v>69</v>
      </c>
      <c r="Y37" s="11" t="s">
        <v>381</v>
      </c>
      <c r="Z37" s="11">
        <v>5.491155779228E12</v>
      </c>
      <c r="AA37" s="11" t="s">
        <v>412</v>
      </c>
      <c r="AB37" s="11"/>
      <c r="AC37" s="11"/>
      <c r="AD37" s="11"/>
      <c r="AE37" s="11" t="s">
        <v>413</v>
      </c>
      <c r="AF37" s="11" t="s">
        <v>414</v>
      </c>
      <c r="AG37" s="18">
        <v>46283.62762731482</v>
      </c>
      <c r="AH37" s="18">
        <v>46283.62762731482</v>
      </c>
      <c r="AI37" s="11"/>
      <c r="AJ37" s="11"/>
      <c r="AK37" s="11">
        <v>18234.0</v>
      </c>
      <c r="AL37" s="21" t="s">
        <v>75</v>
      </c>
      <c r="AM37" s="16"/>
      <c r="AN37" s="16"/>
      <c r="AO37" s="23"/>
      <c r="AP37" s="16" t="s">
        <v>76</v>
      </c>
      <c r="AQ37" s="16">
        <v>3850.0</v>
      </c>
      <c r="AR37" s="16"/>
      <c r="AS37" s="11" t="s">
        <v>269</v>
      </c>
      <c r="AT37" s="11" t="s">
        <v>415</v>
      </c>
      <c r="AU37" s="11" t="s">
        <v>378</v>
      </c>
      <c r="AV37" s="11">
        <v>5.4893674E7</v>
      </c>
      <c r="AW37" s="11" t="s">
        <v>99</v>
      </c>
      <c r="AX37" s="11">
        <v>5.491155779228E12</v>
      </c>
      <c r="AY37" s="11" t="s">
        <v>381</v>
      </c>
      <c r="AZ37" s="24">
        <v>42165.0</v>
      </c>
      <c r="BA37" s="11" t="s">
        <v>100</v>
      </c>
      <c r="BB37" s="11" t="s">
        <v>81</v>
      </c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ht="19.5" customHeight="1">
      <c r="A38" s="10" t="b">
        <v>0</v>
      </c>
      <c r="B38" s="44"/>
      <c r="C38" s="13" t="s">
        <v>59</v>
      </c>
      <c r="D38" s="14" t="s">
        <v>60</v>
      </c>
      <c r="E38" s="11"/>
      <c r="F38" s="15" t="s">
        <v>4</v>
      </c>
      <c r="G38" s="16">
        <v>164.0</v>
      </c>
      <c r="H38" s="16"/>
      <c r="I38" s="16">
        <v>46875.0</v>
      </c>
      <c r="J38" s="11" t="s">
        <v>61</v>
      </c>
      <c r="K38" s="11" t="s">
        <v>62</v>
      </c>
      <c r="L38" s="18">
        <v>46283.536770833336</v>
      </c>
      <c r="M38" s="18">
        <v>46283.53681712963</v>
      </c>
      <c r="N38" s="11" t="s">
        <v>63</v>
      </c>
      <c r="O38" s="11">
        <v>0.0</v>
      </c>
      <c r="P38" s="11" t="s">
        <v>416</v>
      </c>
      <c r="Q38" s="11" t="s">
        <v>417</v>
      </c>
      <c r="R38" s="11"/>
      <c r="S38" s="11" t="s">
        <v>418</v>
      </c>
      <c r="T38" s="11"/>
      <c r="U38" s="11" t="s">
        <v>316</v>
      </c>
      <c r="V38" s="11" t="s">
        <v>68</v>
      </c>
      <c r="W38" s="11">
        <v>2800.0</v>
      </c>
      <c r="X38" s="11" t="s">
        <v>69</v>
      </c>
      <c r="Y38" s="11" t="s">
        <v>419</v>
      </c>
      <c r="Z38" s="11">
        <v>3.487330425E9</v>
      </c>
      <c r="AA38" s="11" t="s">
        <v>71</v>
      </c>
      <c r="AB38" s="11"/>
      <c r="AC38" s="11"/>
      <c r="AD38" s="18">
        <v>46283.53681712963</v>
      </c>
      <c r="AE38" s="11" t="s">
        <v>420</v>
      </c>
      <c r="AF38" s="11" t="s">
        <v>421</v>
      </c>
      <c r="AG38" s="18">
        <v>46283.661770833336</v>
      </c>
      <c r="AH38" s="18">
        <v>46283.66181712963</v>
      </c>
      <c r="AI38" s="11"/>
      <c r="AJ38" s="18">
        <v>46283.66181712963</v>
      </c>
      <c r="AK38" s="11">
        <v>18234.0</v>
      </c>
      <c r="AL38" s="21" t="s">
        <v>75</v>
      </c>
      <c r="AM38" s="16"/>
      <c r="AN38" s="14" t="s">
        <v>39</v>
      </c>
      <c r="AO38" s="23"/>
      <c r="AP38" s="45" t="s">
        <v>422</v>
      </c>
      <c r="AQ38" s="16">
        <v>4797.0</v>
      </c>
      <c r="AR38" s="16"/>
      <c r="AS38" s="11" t="s">
        <v>321</v>
      </c>
      <c r="AT38" s="11" t="s">
        <v>423</v>
      </c>
      <c r="AU38" s="11" t="s">
        <v>417</v>
      </c>
      <c r="AV38" s="11">
        <v>5.4792018E7</v>
      </c>
      <c r="AW38" s="11" t="s">
        <v>79</v>
      </c>
      <c r="AX38" s="11">
        <v>3.487330425E9</v>
      </c>
      <c r="AY38" s="11" t="s">
        <v>419</v>
      </c>
      <c r="AZ38" s="24">
        <v>42145.0</v>
      </c>
      <c r="BA38" s="11" t="s">
        <v>424</v>
      </c>
      <c r="BB38" s="11" t="s">
        <v>101</v>
      </c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</row>
    <row r="39" ht="19.5" customHeight="1">
      <c r="A39" s="10" t="b">
        <v>0</v>
      </c>
      <c r="B39" s="11"/>
      <c r="C39" s="13" t="s">
        <v>60</v>
      </c>
      <c r="D39" s="14" t="s">
        <v>60</v>
      </c>
      <c r="E39" s="11"/>
      <c r="F39" s="15" t="s">
        <v>4</v>
      </c>
      <c r="G39" s="16">
        <v>175.0</v>
      </c>
      <c r="H39" s="16"/>
      <c r="I39" s="16">
        <v>46886.0</v>
      </c>
      <c r="J39" s="11" t="s">
        <v>61</v>
      </c>
      <c r="K39" s="11" t="s">
        <v>62</v>
      </c>
      <c r="L39" s="18">
        <v>46283.716875</v>
      </c>
      <c r="M39" s="18">
        <v>46283.7169212963</v>
      </c>
      <c r="N39" s="11" t="s">
        <v>63</v>
      </c>
      <c r="O39" s="11">
        <v>0.0</v>
      </c>
      <c r="P39" s="11" t="s">
        <v>425</v>
      </c>
      <c r="Q39" s="11" t="s">
        <v>426</v>
      </c>
      <c r="R39" s="11"/>
      <c r="S39" s="11" t="s">
        <v>427</v>
      </c>
      <c r="T39" s="11">
        <v>6117.0</v>
      </c>
      <c r="U39" s="11" t="s">
        <v>428</v>
      </c>
      <c r="V39" s="11" t="s">
        <v>68</v>
      </c>
      <c r="W39" s="11">
        <v>1900.0</v>
      </c>
      <c r="X39" s="11" t="s">
        <v>69</v>
      </c>
      <c r="Y39" s="11" t="s">
        <v>429</v>
      </c>
      <c r="Z39" s="11">
        <v>5.42215419561E11</v>
      </c>
      <c r="AA39" s="11" t="s">
        <v>71</v>
      </c>
      <c r="AB39" s="11"/>
      <c r="AC39" s="11"/>
      <c r="AD39" s="18">
        <v>46283.7169212963</v>
      </c>
      <c r="AE39" s="11" t="s">
        <v>430</v>
      </c>
      <c r="AF39" s="11" t="s">
        <v>431</v>
      </c>
      <c r="AG39" s="18">
        <v>46283.841875</v>
      </c>
      <c r="AH39" s="18">
        <v>46283.8419212963</v>
      </c>
      <c r="AI39" s="11"/>
      <c r="AJ39" s="18">
        <v>46283.8419212963</v>
      </c>
      <c r="AK39" s="11">
        <v>18234.0</v>
      </c>
      <c r="AL39" s="21" t="s">
        <v>75</v>
      </c>
      <c r="AM39" s="16"/>
      <c r="AN39" s="14" t="s">
        <v>39</v>
      </c>
      <c r="AO39" s="23" t="s">
        <v>432</v>
      </c>
      <c r="AP39" s="16" t="s">
        <v>76</v>
      </c>
      <c r="AQ39" s="16">
        <v>3542.0</v>
      </c>
      <c r="AR39" s="16"/>
      <c r="AS39" s="11" t="s">
        <v>433</v>
      </c>
      <c r="AT39" s="11" t="s">
        <v>434</v>
      </c>
      <c r="AU39" s="11" t="s">
        <v>426</v>
      </c>
      <c r="AV39" s="11">
        <v>5.4050047E7</v>
      </c>
      <c r="AW39" s="11" t="s">
        <v>79</v>
      </c>
      <c r="AX39" s="11">
        <v>2.215419561E9</v>
      </c>
      <c r="AY39" s="11" t="s">
        <v>435</v>
      </c>
      <c r="AZ39" s="24">
        <v>41797.0</v>
      </c>
      <c r="BA39" s="11" t="s">
        <v>436</v>
      </c>
      <c r="BB39" s="11" t="s">
        <v>101</v>
      </c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</row>
    <row r="40" ht="19.5" customHeight="1">
      <c r="A40" s="10" t="b">
        <v>0</v>
      </c>
      <c r="B40" s="11"/>
      <c r="C40" s="13" t="s">
        <v>60</v>
      </c>
      <c r="D40" s="14" t="s">
        <v>60</v>
      </c>
      <c r="E40" s="11"/>
      <c r="F40" s="15" t="s">
        <v>4</v>
      </c>
      <c r="G40" s="16">
        <v>176.0</v>
      </c>
      <c r="H40" s="16"/>
      <c r="I40" s="16">
        <v>46887.0</v>
      </c>
      <c r="J40" s="11" t="s">
        <v>61</v>
      </c>
      <c r="K40" s="11" t="s">
        <v>62</v>
      </c>
      <c r="L40" s="18">
        <v>46283.735300925924</v>
      </c>
      <c r="M40" s="18">
        <v>46283.73535879629</v>
      </c>
      <c r="N40" s="11" t="s">
        <v>63</v>
      </c>
      <c r="O40" s="11">
        <v>0.0</v>
      </c>
      <c r="P40" s="11" t="s">
        <v>86</v>
      </c>
      <c r="Q40" s="11" t="s">
        <v>437</v>
      </c>
      <c r="R40" s="11"/>
      <c r="S40" s="11" t="s">
        <v>438</v>
      </c>
      <c r="T40" s="11" t="s">
        <v>439</v>
      </c>
      <c r="U40" s="11" t="s">
        <v>276</v>
      </c>
      <c r="V40" s="11" t="s">
        <v>126</v>
      </c>
      <c r="W40" s="11">
        <v>1430.0</v>
      </c>
      <c r="X40" s="11" t="s">
        <v>69</v>
      </c>
      <c r="Y40" s="11" t="s">
        <v>440</v>
      </c>
      <c r="Z40" s="11">
        <v>1.169163526E9</v>
      </c>
      <c r="AA40" s="11" t="s">
        <v>71</v>
      </c>
      <c r="AB40" s="11"/>
      <c r="AC40" s="11"/>
      <c r="AD40" s="18">
        <v>46283.73535879629</v>
      </c>
      <c r="AE40" s="11" t="s">
        <v>441</v>
      </c>
      <c r="AF40" s="11" t="s">
        <v>442</v>
      </c>
      <c r="AG40" s="18">
        <v>46283.860300925924</v>
      </c>
      <c r="AH40" s="18">
        <v>46283.86035879629</v>
      </c>
      <c r="AI40" s="11"/>
      <c r="AJ40" s="18">
        <v>46283.86035879629</v>
      </c>
      <c r="AK40" s="11">
        <v>18234.0</v>
      </c>
      <c r="AL40" s="21" t="s">
        <v>75</v>
      </c>
      <c r="AM40" s="16"/>
      <c r="AN40" s="14" t="s">
        <v>39</v>
      </c>
      <c r="AO40" s="23" t="s">
        <v>443</v>
      </c>
      <c r="AP40" s="16" t="s">
        <v>76</v>
      </c>
      <c r="AQ40" s="16">
        <v>4272.0</v>
      </c>
      <c r="AR40" s="16"/>
      <c r="AS40" s="11" t="s">
        <v>240</v>
      </c>
      <c r="AT40" s="11" t="s">
        <v>444</v>
      </c>
      <c r="AU40" s="11" t="s">
        <v>437</v>
      </c>
      <c r="AV40" s="11">
        <v>5.4795594E7</v>
      </c>
      <c r="AW40" s="11" t="s">
        <v>79</v>
      </c>
      <c r="AX40" s="11">
        <v>1.169163526E9</v>
      </c>
      <c r="AY40" s="11" t="s">
        <v>440</v>
      </c>
      <c r="AZ40" s="30">
        <v>42135.0</v>
      </c>
      <c r="BA40" s="11" t="s">
        <v>100</v>
      </c>
      <c r="BB40" s="11" t="s">
        <v>101</v>
      </c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</row>
    <row r="41" ht="19.5" customHeight="1">
      <c r="A41" s="10" t="b">
        <v>0</v>
      </c>
      <c r="B41" s="11"/>
      <c r="C41" s="13" t="s">
        <v>60</v>
      </c>
      <c r="D41" s="14" t="s">
        <v>60</v>
      </c>
      <c r="E41" s="11"/>
      <c r="F41" s="15" t="s">
        <v>4</v>
      </c>
      <c r="G41" s="16">
        <v>177.0</v>
      </c>
      <c r="H41" s="16"/>
      <c r="I41" s="16">
        <v>46888.0</v>
      </c>
      <c r="J41" s="11" t="s">
        <v>61</v>
      </c>
      <c r="K41" s="11" t="s">
        <v>62</v>
      </c>
      <c r="L41" s="18">
        <v>46283.73930555556</v>
      </c>
      <c r="M41" s="18">
        <v>46283.73935185185</v>
      </c>
      <c r="N41" s="11" t="s">
        <v>63</v>
      </c>
      <c r="O41" s="11">
        <v>0.0</v>
      </c>
      <c r="P41" s="11" t="s">
        <v>445</v>
      </c>
      <c r="Q41" s="11" t="s">
        <v>446</v>
      </c>
      <c r="R41" s="11"/>
      <c r="S41" s="11" t="s">
        <v>447</v>
      </c>
      <c r="T41" s="11"/>
      <c r="U41" s="11" t="s">
        <v>276</v>
      </c>
      <c r="V41" s="11" t="s">
        <v>126</v>
      </c>
      <c r="W41" s="11">
        <v>1430.0</v>
      </c>
      <c r="X41" s="11" t="s">
        <v>69</v>
      </c>
      <c r="Y41" s="11" t="s">
        <v>448</v>
      </c>
      <c r="Z41" s="11">
        <v>1.150003678E9</v>
      </c>
      <c r="AA41" s="11" t="s">
        <v>71</v>
      </c>
      <c r="AB41" s="11"/>
      <c r="AC41" s="11"/>
      <c r="AD41" s="18">
        <v>46283.73935185185</v>
      </c>
      <c r="AE41" s="11" t="s">
        <v>449</v>
      </c>
      <c r="AF41" s="11" t="s">
        <v>450</v>
      </c>
      <c r="AG41" s="18">
        <v>46283.86430555556</v>
      </c>
      <c r="AH41" s="18">
        <v>46283.86435185185</v>
      </c>
      <c r="AI41" s="11"/>
      <c r="AJ41" s="18">
        <v>46283.86435185185</v>
      </c>
      <c r="AK41" s="11">
        <v>18234.0</v>
      </c>
      <c r="AL41" s="21" t="s">
        <v>75</v>
      </c>
      <c r="AM41" s="16"/>
      <c r="AN41" s="16"/>
      <c r="AO41" s="23" t="s">
        <v>451</v>
      </c>
      <c r="AP41" s="16" t="s">
        <v>76</v>
      </c>
      <c r="AQ41" s="16">
        <v>3484.0</v>
      </c>
      <c r="AR41" s="16"/>
      <c r="AS41" s="11" t="s">
        <v>240</v>
      </c>
      <c r="AT41" s="11" t="s">
        <v>134</v>
      </c>
      <c r="AU41" s="11" t="s">
        <v>452</v>
      </c>
      <c r="AV41" s="11">
        <v>5.3416633E7</v>
      </c>
      <c r="AW41" s="11" t="s">
        <v>99</v>
      </c>
      <c r="AX41" s="11">
        <v>1.150003678E9</v>
      </c>
      <c r="AY41" s="11" t="s">
        <v>448</v>
      </c>
      <c r="AZ41" s="24">
        <v>41549.0</v>
      </c>
      <c r="BA41" s="11" t="s">
        <v>144</v>
      </c>
      <c r="BB41" s="11" t="s">
        <v>101</v>
      </c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</row>
    <row r="42" ht="19.5" customHeight="1">
      <c r="A42" s="10" t="b">
        <v>0</v>
      </c>
      <c r="B42" s="11"/>
      <c r="C42" s="13" t="s">
        <v>60</v>
      </c>
      <c r="D42" s="14" t="s">
        <v>60</v>
      </c>
      <c r="E42" s="11"/>
      <c r="F42" s="15" t="s">
        <v>4</v>
      </c>
      <c r="G42" s="16">
        <v>186.0</v>
      </c>
      <c r="H42" s="16"/>
      <c r="I42" s="16">
        <v>46897.0</v>
      </c>
      <c r="J42" s="11" t="s">
        <v>61</v>
      </c>
      <c r="K42" s="11" t="s">
        <v>62</v>
      </c>
      <c r="L42" s="18">
        <v>46283.88946759259</v>
      </c>
      <c r="M42" s="18">
        <v>46283.88952546296</v>
      </c>
      <c r="N42" s="11" t="s">
        <v>63</v>
      </c>
      <c r="O42" s="11">
        <v>0.0</v>
      </c>
      <c r="P42" s="11" t="s">
        <v>313</v>
      </c>
      <c r="Q42" s="11" t="s">
        <v>453</v>
      </c>
      <c r="R42" s="11"/>
      <c r="S42" s="11" t="s">
        <v>454</v>
      </c>
      <c r="T42" s="11"/>
      <c r="U42" s="11" t="s">
        <v>455</v>
      </c>
      <c r="V42" s="11" t="s">
        <v>68</v>
      </c>
      <c r="W42" s="11">
        <v>1925.0</v>
      </c>
      <c r="X42" s="11" t="s">
        <v>69</v>
      </c>
      <c r="Y42" s="11" t="s">
        <v>456</v>
      </c>
      <c r="Z42" s="11">
        <v>2.216555208E9</v>
      </c>
      <c r="AA42" s="11" t="s">
        <v>71</v>
      </c>
      <c r="AB42" s="11"/>
      <c r="AC42" s="11"/>
      <c r="AD42" s="18">
        <v>46283.88952546296</v>
      </c>
      <c r="AE42" s="11" t="s">
        <v>457</v>
      </c>
      <c r="AF42" s="11" t="s">
        <v>458</v>
      </c>
      <c r="AG42" s="18">
        <v>46284.01446759259</v>
      </c>
      <c r="AH42" s="18">
        <v>46284.01452546296</v>
      </c>
      <c r="AI42" s="11"/>
      <c r="AJ42" s="18">
        <v>46284.01452546296</v>
      </c>
      <c r="AK42" s="11">
        <v>18234.0</v>
      </c>
      <c r="AL42" s="21" t="s">
        <v>75</v>
      </c>
      <c r="AM42" s="16"/>
      <c r="AN42" s="16"/>
      <c r="AO42" s="23" t="s">
        <v>459</v>
      </c>
      <c r="AP42" s="16" t="s">
        <v>76</v>
      </c>
      <c r="AQ42" s="16">
        <v>3590.0</v>
      </c>
      <c r="AR42" s="16"/>
      <c r="AS42" s="11" t="s">
        <v>433</v>
      </c>
      <c r="AT42" s="11" t="s">
        <v>134</v>
      </c>
      <c r="AU42" s="11" t="s">
        <v>460</v>
      </c>
      <c r="AV42" s="11">
        <v>5.2675666E7</v>
      </c>
      <c r="AW42" s="11" t="s">
        <v>99</v>
      </c>
      <c r="AX42" s="11">
        <v>2.216027401E9</v>
      </c>
      <c r="AY42" s="11" t="s">
        <v>456</v>
      </c>
      <c r="AZ42" s="24">
        <v>41144.0</v>
      </c>
      <c r="BA42" s="11" t="s">
        <v>461</v>
      </c>
      <c r="BB42" s="11" t="s">
        <v>349</v>
      </c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</row>
    <row r="43" ht="19.5" customHeight="1">
      <c r="A43" s="10" t="b">
        <v>0</v>
      </c>
      <c r="B43" s="11"/>
      <c r="C43" s="13" t="s">
        <v>59</v>
      </c>
      <c r="D43" s="14" t="s">
        <v>60</v>
      </c>
      <c r="E43" s="11"/>
      <c r="F43" s="15" t="s">
        <v>4</v>
      </c>
      <c r="G43" s="16">
        <v>187.0</v>
      </c>
      <c r="H43" s="16"/>
      <c r="I43" s="16">
        <v>46898.0</v>
      </c>
      <c r="J43" s="11" t="s">
        <v>61</v>
      </c>
      <c r="K43" s="11" t="s">
        <v>62</v>
      </c>
      <c r="L43" s="18">
        <v>46284.00435185185</v>
      </c>
      <c r="M43" s="18">
        <v>46284.00439814815</v>
      </c>
      <c r="N43" s="11" t="s">
        <v>63</v>
      </c>
      <c r="O43" s="11">
        <v>0.0</v>
      </c>
      <c r="P43" s="11" t="s">
        <v>462</v>
      </c>
      <c r="Q43" s="11" t="s">
        <v>463</v>
      </c>
      <c r="R43" s="11"/>
      <c r="S43" s="11" t="s">
        <v>464</v>
      </c>
      <c r="T43" s="11" t="s">
        <v>464</v>
      </c>
      <c r="U43" s="11" t="s">
        <v>234</v>
      </c>
      <c r="V43" s="11" t="s">
        <v>68</v>
      </c>
      <c r="W43" s="11">
        <v>1644.0</v>
      </c>
      <c r="X43" s="11" t="s">
        <v>69</v>
      </c>
      <c r="Y43" s="11" t="s">
        <v>465</v>
      </c>
      <c r="Z43" s="11">
        <v>1.11540347713E11</v>
      </c>
      <c r="AA43" s="11" t="s">
        <v>71</v>
      </c>
      <c r="AB43" s="11"/>
      <c r="AC43" s="11"/>
      <c r="AD43" s="18">
        <v>46284.00439814815</v>
      </c>
      <c r="AE43" s="11" t="s">
        <v>466</v>
      </c>
      <c r="AF43" s="11" t="s">
        <v>467</v>
      </c>
      <c r="AG43" s="18">
        <v>46284.12935185185</v>
      </c>
      <c r="AH43" s="18">
        <v>46284.12939814815</v>
      </c>
      <c r="AI43" s="11"/>
      <c r="AJ43" s="18">
        <v>46284.12939814815</v>
      </c>
      <c r="AK43" s="11">
        <v>18234.0</v>
      </c>
      <c r="AL43" s="21" t="s">
        <v>75</v>
      </c>
      <c r="AM43" s="16"/>
      <c r="AN43" s="14" t="s">
        <v>39</v>
      </c>
      <c r="AO43" s="23" t="s">
        <v>468</v>
      </c>
      <c r="AP43" s="16" t="s">
        <v>76</v>
      </c>
      <c r="AQ43" s="16">
        <v>4211.0</v>
      </c>
      <c r="AR43" s="16"/>
      <c r="AS43" s="11" t="s">
        <v>251</v>
      </c>
      <c r="AT43" s="11" t="s">
        <v>469</v>
      </c>
      <c r="AU43" s="11" t="s">
        <v>470</v>
      </c>
      <c r="AV43" s="11">
        <v>5.4904568E7</v>
      </c>
      <c r="AW43" s="11" t="s">
        <v>79</v>
      </c>
      <c r="AX43" s="11">
        <v>1.11540347713E11</v>
      </c>
      <c r="AY43" s="11" t="s">
        <v>465</v>
      </c>
      <c r="AZ43" s="24">
        <v>42164.0</v>
      </c>
      <c r="BA43" s="11" t="s">
        <v>144</v>
      </c>
      <c r="BB43" s="11" t="s">
        <v>101</v>
      </c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</row>
    <row r="44" ht="19.5" customHeight="1">
      <c r="A44" s="10" t="b">
        <v>0</v>
      </c>
      <c r="B44" s="11"/>
      <c r="C44" s="13" t="s">
        <v>60</v>
      </c>
      <c r="D44" s="14" t="s">
        <v>60</v>
      </c>
      <c r="E44" s="11"/>
      <c r="F44" s="15" t="s">
        <v>4</v>
      </c>
      <c r="G44" s="16">
        <v>192.0</v>
      </c>
      <c r="H44" s="16"/>
      <c r="I44" s="16">
        <v>46903.0</v>
      </c>
      <c r="J44" s="11" t="s">
        <v>61</v>
      </c>
      <c r="K44" s="11" t="s">
        <v>62</v>
      </c>
      <c r="L44" s="18">
        <v>46284.413668981484</v>
      </c>
      <c r="M44" s="18">
        <v>46284.41371527778</v>
      </c>
      <c r="N44" s="11" t="s">
        <v>63</v>
      </c>
      <c r="O44" s="11">
        <v>0.0</v>
      </c>
      <c r="P44" s="11" t="s">
        <v>471</v>
      </c>
      <c r="Q44" s="11" t="s">
        <v>472</v>
      </c>
      <c r="R44" s="11"/>
      <c r="S44" s="11" t="s">
        <v>473</v>
      </c>
      <c r="T44" s="11" t="s">
        <v>474</v>
      </c>
      <c r="U44" s="11" t="s">
        <v>475</v>
      </c>
      <c r="V44" s="11" t="s">
        <v>68</v>
      </c>
      <c r="W44" s="11">
        <v>1888.0</v>
      </c>
      <c r="X44" s="11" t="s">
        <v>69</v>
      </c>
      <c r="Y44" s="11" t="s">
        <v>476</v>
      </c>
      <c r="Z44" s="11">
        <v>1.139575968E9</v>
      </c>
      <c r="AA44" s="11" t="s">
        <v>71</v>
      </c>
      <c r="AB44" s="11"/>
      <c r="AC44" s="11"/>
      <c r="AD44" s="11"/>
      <c r="AE44" s="11" t="s">
        <v>477</v>
      </c>
      <c r="AF44" s="11" t="s">
        <v>478</v>
      </c>
      <c r="AG44" s="18">
        <v>46284.538668981484</v>
      </c>
      <c r="AH44" s="18">
        <v>46284.53871527778</v>
      </c>
      <c r="AI44" s="11"/>
      <c r="AJ44" s="11"/>
      <c r="AK44" s="11">
        <v>18234.0</v>
      </c>
      <c r="AL44" s="21" t="s">
        <v>75</v>
      </c>
      <c r="AM44" s="16"/>
      <c r="AN44" s="16"/>
      <c r="AO44" s="23" t="s">
        <v>479</v>
      </c>
      <c r="AP44" s="16" t="s">
        <v>76</v>
      </c>
      <c r="AQ44" s="16">
        <v>3178.0</v>
      </c>
      <c r="AR44" s="16"/>
      <c r="AS44" s="11" t="s">
        <v>480</v>
      </c>
      <c r="AT44" s="11" t="s">
        <v>471</v>
      </c>
      <c r="AU44" s="11" t="s">
        <v>472</v>
      </c>
      <c r="AV44" s="11">
        <v>5.4228011E7</v>
      </c>
      <c r="AW44" s="11" t="s">
        <v>99</v>
      </c>
      <c r="AX44" s="11">
        <v>1.139575968E9</v>
      </c>
      <c r="AY44" s="11" t="s">
        <v>476</v>
      </c>
      <c r="AZ44" s="24">
        <v>41867.0</v>
      </c>
      <c r="BA44" s="11" t="s">
        <v>481</v>
      </c>
      <c r="BB44" s="11" t="s">
        <v>101</v>
      </c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</row>
    <row r="45" ht="19.5" customHeight="1">
      <c r="A45" s="10" t="b">
        <v>0</v>
      </c>
      <c r="B45" s="11"/>
      <c r="C45" s="13" t="s">
        <v>60</v>
      </c>
      <c r="D45" s="14" t="s">
        <v>60</v>
      </c>
      <c r="E45" s="11"/>
      <c r="F45" s="15" t="s">
        <v>4</v>
      </c>
      <c r="G45" s="16">
        <v>194.0</v>
      </c>
      <c r="H45" s="16"/>
      <c r="I45" s="16">
        <v>46905.0</v>
      </c>
      <c r="J45" s="11" t="s">
        <v>61</v>
      </c>
      <c r="K45" s="11" t="s">
        <v>62</v>
      </c>
      <c r="L45" s="18">
        <v>46284.43145833333</v>
      </c>
      <c r="M45" s="18">
        <v>46284.4315162037</v>
      </c>
      <c r="N45" s="11" t="s">
        <v>63</v>
      </c>
      <c r="O45" s="11">
        <v>0.0</v>
      </c>
      <c r="P45" s="11" t="s">
        <v>482</v>
      </c>
      <c r="Q45" s="11" t="s">
        <v>483</v>
      </c>
      <c r="R45" s="11"/>
      <c r="S45" s="11" t="s">
        <v>484</v>
      </c>
      <c r="T45" s="11">
        <v>176.0</v>
      </c>
      <c r="U45" s="11" t="s">
        <v>342</v>
      </c>
      <c r="V45" s="11" t="s">
        <v>68</v>
      </c>
      <c r="W45" s="11">
        <v>1625.0</v>
      </c>
      <c r="X45" s="11" t="s">
        <v>69</v>
      </c>
      <c r="Y45" s="11" t="s">
        <v>485</v>
      </c>
      <c r="Z45" s="11">
        <v>5.41125500915E11</v>
      </c>
      <c r="AA45" s="11" t="s">
        <v>71</v>
      </c>
      <c r="AB45" s="11"/>
      <c r="AC45" s="11"/>
      <c r="AD45" s="18">
        <v>46284.4315162037</v>
      </c>
      <c r="AE45" s="11" t="s">
        <v>486</v>
      </c>
      <c r="AF45" s="11" t="s">
        <v>487</v>
      </c>
      <c r="AG45" s="18">
        <v>46284.55645833333</v>
      </c>
      <c r="AH45" s="18">
        <v>46284.5565162037</v>
      </c>
      <c r="AI45" s="11"/>
      <c r="AJ45" s="18">
        <v>46284.5565162037</v>
      </c>
      <c r="AK45" s="11">
        <v>18234.0</v>
      </c>
      <c r="AL45" s="21" t="s">
        <v>75</v>
      </c>
      <c r="AM45" s="16"/>
      <c r="AN45" s="16"/>
      <c r="AO45" s="23">
        <v>3598.0</v>
      </c>
      <c r="AP45" s="16" t="s">
        <v>76</v>
      </c>
      <c r="AQ45" s="16">
        <v>3598.0</v>
      </c>
      <c r="AR45" s="16"/>
      <c r="AS45" s="11" t="s">
        <v>240</v>
      </c>
      <c r="AT45" s="11" t="s">
        <v>488</v>
      </c>
      <c r="AU45" s="11" t="s">
        <v>489</v>
      </c>
      <c r="AV45" s="11">
        <v>5.4892685E7</v>
      </c>
      <c r="AW45" s="11" t="s">
        <v>99</v>
      </c>
      <c r="AX45" s="11">
        <v>1.125500915E9</v>
      </c>
      <c r="AY45" s="11" t="s">
        <v>485</v>
      </c>
      <c r="AZ45" s="24">
        <v>42164.0</v>
      </c>
      <c r="BA45" s="11" t="s">
        <v>252</v>
      </c>
      <c r="BB45" s="11" t="s">
        <v>349</v>
      </c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</row>
    <row r="46" ht="19.5" customHeight="1">
      <c r="A46" s="10" t="b">
        <v>0</v>
      </c>
      <c r="B46" s="11"/>
      <c r="C46" s="13" t="s">
        <v>60</v>
      </c>
      <c r="D46" s="14" t="s">
        <v>60</v>
      </c>
      <c r="E46" s="11"/>
      <c r="F46" s="15" t="s">
        <v>4</v>
      </c>
      <c r="G46" s="16">
        <v>195.0</v>
      </c>
      <c r="H46" s="16"/>
      <c r="I46" s="16">
        <v>46906.0</v>
      </c>
      <c r="J46" s="11" t="s">
        <v>61</v>
      </c>
      <c r="K46" s="11" t="s">
        <v>62</v>
      </c>
      <c r="L46" s="18">
        <v>46284.43238425926</v>
      </c>
      <c r="M46" s="18">
        <v>46284.432442129626</v>
      </c>
      <c r="N46" s="11" t="s">
        <v>63</v>
      </c>
      <c r="O46" s="11">
        <v>0.0</v>
      </c>
      <c r="P46" s="11" t="s">
        <v>490</v>
      </c>
      <c r="Q46" s="11" t="s">
        <v>491</v>
      </c>
      <c r="R46" s="11"/>
      <c r="S46" s="11" t="s">
        <v>492</v>
      </c>
      <c r="T46" s="11"/>
      <c r="U46" s="11" t="s">
        <v>493</v>
      </c>
      <c r="V46" s="11" t="s">
        <v>68</v>
      </c>
      <c r="W46" s="11">
        <v>1643.0</v>
      </c>
      <c r="X46" s="11" t="s">
        <v>69</v>
      </c>
      <c r="Y46" s="11" t="s">
        <v>494</v>
      </c>
      <c r="Z46" s="11">
        <v>5.411625941E11</v>
      </c>
      <c r="AA46" s="11" t="s">
        <v>71</v>
      </c>
      <c r="AB46" s="11"/>
      <c r="AC46" s="11"/>
      <c r="AD46" s="18">
        <v>46284.432442129626</v>
      </c>
      <c r="AE46" s="11" t="s">
        <v>495</v>
      </c>
      <c r="AF46" s="11" t="s">
        <v>496</v>
      </c>
      <c r="AG46" s="18">
        <v>46284.55738425926</v>
      </c>
      <c r="AH46" s="18">
        <v>46284.557442129626</v>
      </c>
      <c r="AI46" s="11"/>
      <c r="AJ46" s="18">
        <v>46284.557442129626</v>
      </c>
      <c r="AK46" s="11">
        <v>18234.0</v>
      </c>
      <c r="AL46" s="21" t="s">
        <v>75</v>
      </c>
      <c r="AM46" s="16"/>
      <c r="AN46" s="14" t="s">
        <v>39</v>
      </c>
      <c r="AO46" s="23"/>
      <c r="AP46" s="16" t="s">
        <v>76</v>
      </c>
      <c r="AQ46" s="16">
        <v>354.0</v>
      </c>
      <c r="AR46" s="16"/>
      <c r="AS46" s="11" t="s">
        <v>251</v>
      </c>
      <c r="AT46" s="11" t="s">
        <v>497</v>
      </c>
      <c r="AU46" s="11" t="s">
        <v>491</v>
      </c>
      <c r="AV46" s="11">
        <v>5.4059861E7</v>
      </c>
      <c r="AW46" s="11" t="s">
        <v>79</v>
      </c>
      <c r="AX46" s="11">
        <v>1.1625941E9</v>
      </c>
      <c r="AY46" s="11" t="s">
        <v>494</v>
      </c>
      <c r="AZ46" s="24">
        <v>41809.0</v>
      </c>
      <c r="BA46" s="11" t="s">
        <v>252</v>
      </c>
      <c r="BB46" s="11" t="s">
        <v>101</v>
      </c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</row>
    <row r="47" ht="19.5" customHeight="1">
      <c r="A47" s="10" t="b">
        <v>0</v>
      </c>
      <c r="B47" s="11"/>
      <c r="C47" s="13" t="s">
        <v>59</v>
      </c>
      <c r="D47" s="14" t="s">
        <v>60</v>
      </c>
      <c r="E47" s="11"/>
      <c r="F47" s="15" t="s">
        <v>4</v>
      </c>
      <c r="G47" s="16">
        <v>201.0</v>
      </c>
      <c r="H47" s="16"/>
      <c r="I47" s="16">
        <v>46912.0</v>
      </c>
      <c r="J47" s="11" t="s">
        <v>61</v>
      </c>
      <c r="K47" s="11" t="s">
        <v>62</v>
      </c>
      <c r="L47" s="18">
        <v>46284.60900462963</v>
      </c>
      <c r="M47" s="18">
        <v>46284.6090625</v>
      </c>
      <c r="N47" s="11" t="s">
        <v>63</v>
      </c>
      <c r="O47" s="11">
        <v>0.0</v>
      </c>
      <c r="P47" s="11" t="s">
        <v>498</v>
      </c>
      <c r="Q47" s="11" t="s">
        <v>499</v>
      </c>
      <c r="R47" s="11"/>
      <c r="S47" s="11" t="s">
        <v>500</v>
      </c>
      <c r="T47" s="11"/>
      <c r="U47" s="11" t="s">
        <v>501</v>
      </c>
      <c r="V47" s="11" t="s">
        <v>101</v>
      </c>
      <c r="W47" s="11">
        <v>2919.0</v>
      </c>
      <c r="X47" s="11" t="s">
        <v>69</v>
      </c>
      <c r="Y47" s="11" t="s">
        <v>502</v>
      </c>
      <c r="Z47" s="11">
        <v>3.415830548E9</v>
      </c>
      <c r="AA47" s="11" t="s">
        <v>71</v>
      </c>
      <c r="AB47" s="11"/>
      <c r="AC47" s="11"/>
      <c r="AD47" s="11"/>
      <c r="AE47" s="11" t="s">
        <v>503</v>
      </c>
      <c r="AF47" s="11" t="s">
        <v>504</v>
      </c>
      <c r="AG47" s="18">
        <v>46284.73400462963</v>
      </c>
      <c r="AH47" s="18">
        <v>46284.7340625</v>
      </c>
      <c r="AI47" s="11"/>
      <c r="AJ47" s="11"/>
      <c r="AK47" s="11">
        <v>18234.0</v>
      </c>
      <c r="AL47" s="21" t="s">
        <v>75</v>
      </c>
      <c r="AM47" s="16"/>
      <c r="AN47" s="14" t="s">
        <v>39</v>
      </c>
      <c r="AO47" s="23"/>
      <c r="AP47" s="16" t="s">
        <v>76</v>
      </c>
      <c r="AQ47" s="16">
        <v>3704.0</v>
      </c>
      <c r="AR47" s="16"/>
      <c r="AS47" s="11" t="s">
        <v>505</v>
      </c>
      <c r="AT47" s="11" t="s">
        <v>506</v>
      </c>
      <c r="AU47" s="11" t="s">
        <v>499</v>
      </c>
      <c r="AV47" s="11">
        <v>2.7978305E7</v>
      </c>
      <c r="AW47" s="11" t="s">
        <v>79</v>
      </c>
      <c r="AX47" s="11">
        <v>3.415830548E9</v>
      </c>
      <c r="AY47" s="11" t="s">
        <v>502</v>
      </c>
      <c r="AZ47" s="24">
        <v>42367.0</v>
      </c>
      <c r="BA47" s="11" t="s">
        <v>252</v>
      </c>
      <c r="BB47" s="11" t="s">
        <v>101</v>
      </c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</row>
    <row r="48" ht="19.5" customHeight="1">
      <c r="A48" s="10" t="b">
        <v>0</v>
      </c>
      <c r="B48" s="11"/>
      <c r="C48" s="13" t="s">
        <v>59</v>
      </c>
      <c r="D48" s="14" t="s">
        <v>60</v>
      </c>
      <c r="E48" s="11"/>
      <c r="F48" s="15" t="s">
        <v>4</v>
      </c>
      <c r="G48" s="16">
        <v>221.0</v>
      </c>
      <c r="H48" s="16"/>
      <c r="I48" s="16">
        <v>46944.0</v>
      </c>
      <c r="J48" s="11" t="s">
        <v>61</v>
      </c>
      <c r="K48" s="11" t="s">
        <v>62</v>
      </c>
      <c r="L48" s="18">
        <v>46285.4591087963</v>
      </c>
      <c r="M48" s="18">
        <v>46285.45916666667</v>
      </c>
      <c r="N48" s="11" t="s">
        <v>63</v>
      </c>
      <c r="O48" s="11">
        <v>0.0</v>
      </c>
      <c r="P48" s="11" t="s">
        <v>507</v>
      </c>
      <c r="Q48" s="11" t="s">
        <v>508</v>
      </c>
      <c r="R48" s="11"/>
      <c r="S48" s="11" t="s">
        <v>509</v>
      </c>
      <c r="T48" s="11"/>
      <c r="U48" s="11" t="s">
        <v>493</v>
      </c>
      <c r="V48" s="11" t="s">
        <v>68</v>
      </c>
      <c r="W48" s="11">
        <v>1642.0</v>
      </c>
      <c r="X48" s="11" t="s">
        <v>69</v>
      </c>
      <c r="Y48" s="11" t="s">
        <v>510</v>
      </c>
      <c r="Z48" s="11">
        <v>1.141778506E9</v>
      </c>
      <c r="AA48" s="11" t="s">
        <v>71</v>
      </c>
      <c r="AB48" s="11"/>
      <c r="AC48" s="11"/>
      <c r="AD48" s="18">
        <v>46285.45916666667</v>
      </c>
      <c r="AE48" s="11" t="s">
        <v>511</v>
      </c>
      <c r="AF48" s="11" t="s">
        <v>512</v>
      </c>
      <c r="AG48" s="18">
        <v>46285.5841087963</v>
      </c>
      <c r="AH48" s="18">
        <v>46285.58416666667</v>
      </c>
      <c r="AI48" s="11"/>
      <c r="AJ48" s="18">
        <v>46285.58416666667</v>
      </c>
      <c r="AK48" s="11">
        <v>18234.0</v>
      </c>
      <c r="AL48" s="21" t="s">
        <v>75</v>
      </c>
      <c r="AM48" s="16"/>
      <c r="AN48" s="16"/>
      <c r="AO48" s="23"/>
      <c r="AP48" s="16" t="s">
        <v>76</v>
      </c>
      <c r="AQ48" s="16">
        <v>3138.0</v>
      </c>
      <c r="AR48" s="16"/>
      <c r="AS48" s="11" t="s">
        <v>251</v>
      </c>
      <c r="AT48" s="11" t="s">
        <v>513</v>
      </c>
      <c r="AU48" s="11" t="s">
        <v>508</v>
      </c>
      <c r="AV48" s="11">
        <v>5.5484321E7</v>
      </c>
      <c r="AW48" s="11" t="s">
        <v>99</v>
      </c>
      <c r="AX48" s="11">
        <v>1.141778506E9</v>
      </c>
      <c r="AY48" s="11" t="s">
        <v>510</v>
      </c>
      <c r="AZ48" s="24">
        <v>42455.0</v>
      </c>
      <c r="BA48" s="11" t="s">
        <v>100</v>
      </c>
      <c r="BB48" s="11" t="s">
        <v>101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</row>
    <row r="49" ht="19.5" customHeight="1">
      <c r="A49" s="10" t="b">
        <v>0</v>
      </c>
      <c r="B49" s="11"/>
      <c r="C49" s="13" t="s">
        <v>60</v>
      </c>
      <c r="D49" s="14" t="s">
        <v>60</v>
      </c>
      <c r="E49" s="11"/>
      <c r="F49" s="15" t="s">
        <v>4</v>
      </c>
      <c r="G49" s="16">
        <v>223.0</v>
      </c>
      <c r="H49" s="16"/>
      <c r="I49" s="16">
        <v>46946.0</v>
      </c>
      <c r="J49" s="11" t="s">
        <v>61</v>
      </c>
      <c r="K49" s="11" t="s">
        <v>62</v>
      </c>
      <c r="L49" s="18">
        <v>46285.466261574074</v>
      </c>
      <c r="M49" s="18">
        <v>46285.46630787037</v>
      </c>
      <c r="N49" s="11" t="s">
        <v>63</v>
      </c>
      <c r="O49" s="11">
        <v>0.0</v>
      </c>
      <c r="P49" s="11" t="s">
        <v>514</v>
      </c>
      <c r="Q49" s="11" t="s">
        <v>515</v>
      </c>
      <c r="R49" s="11"/>
      <c r="S49" s="11" t="s">
        <v>516</v>
      </c>
      <c r="T49" s="11" t="s">
        <v>517</v>
      </c>
      <c r="U49" s="11" t="s">
        <v>276</v>
      </c>
      <c r="V49" s="11" t="s">
        <v>68</v>
      </c>
      <c r="W49" s="11">
        <v>1020.0</v>
      </c>
      <c r="X49" s="11" t="s">
        <v>69</v>
      </c>
      <c r="Y49" s="11" t="s">
        <v>518</v>
      </c>
      <c r="Z49" s="11">
        <v>5.41140624064E11</v>
      </c>
      <c r="AA49" s="11" t="s">
        <v>71</v>
      </c>
      <c r="AB49" s="11"/>
      <c r="AC49" s="11"/>
      <c r="AD49" s="18">
        <v>46285.46630787037</v>
      </c>
      <c r="AE49" s="11" t="s">
        <v>519</v>
      </c>
      <c r="AF49" s="11" t="s">
        <v>520</v>
      </c>
      <c r="AG49" s="18">
        <v>46285.591261574074</v>
      </c>
      <c r="AH49" s="18">
        <v>46285.59130787037</v>
      </c>
      <c r="AI49" s="11"/>
      <c r="AJ49" s="18">
        <v>46285.59130787037</v>
      </c>
      <c r="AK49" s="11">
        <v>18234.0</v>
      </c>
      <c r="AL49" s="21" t="s">
        <v>75</v>
      </c>
      <c r="AM49" s="16"/>
      <c r="AN49" s="14" t="s">
        <v>39</v>
      </c>
      <c r="AO49" s="23"/>
      <c r="AP49" s="16" t="s">
        <v>76</v>
      </c>
      <c r="AQ49" s="16">
        <v>4100.0</v>
      </c>
      <c r="AR49" s="16"/>
      <c r="AS49" s="11" t="s">
        <v>251</v>
      </c>
      <c r="AT49" s="11" t="s">
        <v>521</v>
      </c>
      <c r="AU49" s="11" t="s">
        <v>522</v>
      </c>
      <c r="AV49" s="11">
        <v>5.4207303E7</v>
      </c>
      <c r="AW49" s="11" t="s">
        <v>79</v>
      </c>
      <c r="AX49" s="11">
        <v>1.140624064E9</v>
      </c>
      <c r="AY49" s="11" t="s">
        <v>518</v>
      </c>
      <c r="AZ49" s="31">
        <v>41857.0</v>
      </c>
      <c r="BA49" s="11" t="s">
        <v>80</v>
      </c>
      <c r="BB49" s="11" t="s">
        <v>81</v>
      </c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</row>
    <row r="50" ht="19.5" customHeight="1">
      <c r="A50" s="10" t="b">
        <v>0</v>
      </c>
      <c r="B50" s="11"/>
      <c r="C50" s="13" t="s">
        <v>60</v>
      </c>
      <c r="D50" s="14" t="s">
        <v>60</v>
      </c>
      <c r="E50" s="11"/>
      <c r="F50" s="15" t="s">
        <v>4</v>
      </c>
      <c r="G50" s="16">
        <v>227.0</v>
      </c>
      <c r="H50" s="16"/>
      <c r="I50" s="16">
        <v>46950.0</v>
      </c>
      <c r="J50" s="11" t="s">
        <v>61</v>
      </c>
      <c r="K50" s="11" t="s">
        <v>62</v>
      </c>
      <c r="L50" s="18">
        <v>46285.522893518515</v>
      </c>
      <c r="M50" s="18">
        <v>46285.52295138889</v>
      </c>
      <c r="N50" s="11" t="s">
        <v>63</v>
      </c>
      <c r="O50" s="11">
        <v>0.0</v>
      </c>
      <c r="P50" s="11" t="s">
        <v>445</v>
      </c>
      <c r="Q50" s="11" t="s">
        <v>523</v>
      </c>
      <c r="R50" s="11"/>
      <c r="S50" s="11" t="s">
        <v>524</v>
      </c>
      <c r="T50" s="11" t="s">
        <v>525</v>
      </c>
      <c r="U50" s="11" t="s">
        <v>526</v>
      </c>
      <c r="V50" s="11" t="s">
        <v>68</v>
      </c>
      <c r="W50" s="11">
        <v>1878.0</v>
      </c>
      <c r="X50" s="11" t="s">
        <v>69</v>
      </c>
      <c r="Y50" s="11" t="s">
        <v>527</v>
      </c>
      <c r="Z50" s="11">
        <v>5.41168580797E11</v>
      </c>
      <c r="AA50" s="11" t="s">
        <v>71</v>
      </c>
      <c r="AB50" s="11"/>
      <c r="AC50" s="11"/>
      <c r="AD50" s="18">
        <v>46285.52295138889</v>
      </c>
      <c r="AE50" s="11" t="s">
        <v>528</v>
      </c>
      <c r="AF50" s="11" t="s">
        <v>529</v>
      </c>
      <c r="AG50" s="18">
        <v>46285.647893518515</v>
      </c>
      <c r="AH50" s="18">
        <v>46285.64795138889</v>
      </c>
      <c r="AI50" s="11"/>
      <c r="AJ50" s="18">
        <v>46285.64795138889</v>
      </c>
      <c r="AK50" s="11">
        <v>18234.0</v>
      </c>
      <c r="AL50" s="21" t="s">
        <v>75</v>
      </c>
      <c r="AM50" s="16"/>
      <c r="AN50" s="16"/>
      <c r="AO50" s="23"/>
      <c r="AP50" s="16" t="s">
        <v>76</v>
      </c>
      <c r="AQ50" s="16">
        <v>3983.0</v>
      </c>
      <c r="AR50" s="16"/>
      <c r="AS50" s="11" t="s">
        <v>480</v>
      </c>
      <c r="AT50" s="11" t="s">
        <v>530</v>
      </c>
      <c r="AU50" s="11" t="s">
        <v>531</v>
      </c>
      <c r="AV50" s="11">
        <v>5.3815111E7</v>
      </c>
      <c r="AW50" s="11" t="s">
        <v>99</v>
      </c>
      <c r="AX50" s="11">
        <v>1.168580797E9</v>
      </c>
      <c r="AY50" s="11" t="s">
        <v>527</v>
      </c>
      <c r="AZ50" s="24">
        <v>41709.0</v>
      </c>
      <c r="BA50" s="11" t="s">
        <v>532</v>
      </c>
      <c r="BB50" s="11" t="s">
        <v>101</v>
      </c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</row>
    <row r="51" ht="19.5" customHeight="1">
      <c r="A51" s="10" t="b">
        <v>0</v>
      </c>
      <c r="B51" s="11"/>
      <c r="C51" s="13" t="s">
        <v>60</v>
      </c>
      <c r="D51" s="14" t="s">
        <v>60</v>
      </c>
      <c r="E51" s="11"/>
      <c r="F51" s="15" t="s">
        <v>4</v>
      </c>
      <c r="G51" s="16">
        <v>228.0</v>
      </c>
      <c r="H51" s="16"/>
      <c r="I51" s="16">
        <v>46951.0</v>
      </c>
      <c r="J51" s="11" t="s">
        <v>61</v>
      </c>
      <c r="K51" s="11" t="s">
        <v>62</v>
      </c>
      <c r="L51" s="18">
        <v>46285.526921296296</v>
      </c>
      <c r="M51" s="18">
        <v>46285.526967592596</v>
      </c>
      <c r="N51" s="11" t="s">
        <v>63</v>
      </c>
      <c r="O51" s="11">
        <v>0.0</v>
      </c>
      <c r="P51" s="11" t="s">
        <v>445</v>
      </c>
      <c r="Q51" s="11" t="s">
        <v>523</v>
      </c>
      <c r="R51" s="11"/>
      <c r="S51" s="11" t="s">
        <v>524</v>
      </c>
      <c r="T51" s="11" t="s">
        <v>525</v>
      </c>
      <c r="U51" s="11" t="s">
        <v>526</v>
      </c>
      <c r="V51" s="11" t="s">
        <v>68</v>
      </c>
      <c r="W51" s="11">
        <v>1878.0</v>
      </c>
      <c r="X51" s="11" t="s">
        <v>69</v>
      </c>
      <c r="Y51" s="11" t="s">
        <v>527</v>
      </c>
      <c r="Z51" s="11">
        <v>5.41168580797E11</v>
      </c>
      <c r="AA51" s="11" t="s">
        <v>71</v>
      </c>
      <c r="AB51" s="11"/>
      <c r="AC51" s="11"/>
      <c r="AD51" s="18">
        <v>46285.526967592596</v>
      </c>
      <c r="AE51" s="11" t="s">
        <v>533</v>
      </c>
      <c r="AF51" s="11" t="s">
        <v>534</v>
      </c>
      <c r="AG51" s="18">
        <v>46285.651921296296</v>
      </c>
      <c r="AH51" s="18">
        <v>46285.651967592596</v>
      </c>
      <c r="AI51" s="11"/>
      <c r="AJ51" s="18">
        <v>46285.651967592596</v>
      </c>
      <c r="AK51" s="11">
        <v>18234.0</v>
      </c>
      <c r="AL51" s="21" t="s">
        <v>75</v>
      </c>
      <c r="AM51" s="16"/>
      <c r="AN51" s="16"/>
      <c r="AO51" s="23" t="s">
        <v>535</v>
      </c>
      <c r="AP51" s="16" t="s">
        <v>76</v>
      </c>
      <c r="AQ51" s="16">
        <v>3958.0</v>
      </c>
      <c r="AR51" s="16"/>
      <c r="AS51" s="11" t="s">
        <v>480</v>
      </c>
      <c r="AT51" s="11" t="s">
        <v>536</v>
      </c>
      <c r="AU51" s="11" t="s">
        <v>531</v>
      </c>
      <c r="AV51" s="11">
        <v>5.5745965E7</v>
      </c>
      <c r="AW51" s="11" t="s">
        <v>99</v>
      </c>
      <c r="AX51" s="11">
        <v>1.168580797E9</v>
      </c>
      <c r="AY51" s="11" t="s">
        <v>527</v>
      </c>
      <c r="AZ51" s="24">
        <v>42615.0</v>
      </c>
      <c r="BA51" s="11" t="s">
        <v>532</v>
      </c>
      <c r="BB51" s="11" t="s">
        <v>101</v>
      </c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</row>
    <row r="52" ht="19.5" customHeight="1">
      <c r="A52" s="10" t="b">
        <v>0</v>
      </c>
      <c r="B52" s="11"/>
      <c r="C52" s="13" t="s">
        <v>59</v>
      </c>
      <c r="D52" s="14" t="s">
        <v>60</v>
      </c>
      <c r="E52" s="11"/>
      <c r="F52" s="15" t="s">
        <v>4</v>
      </c>
      <c r="G52" s="16">
        <v>229.0</v>
      </c>
      <c r="H52" s="16"/>
      <c r="I52" s="16">
        <v>46952.0</v>
      </c>
      <c r="J52" s="11" t="s">
        <v>61</v>
      </c>
      <c r="K52" s="11" t="s">
        <v>62</v>
      </c>
      <c r="L52" s="18">
        <v>46285.52875</v>
      </c>
      <c r="M52" s="18">
        <v>46285.5287962963</v>
      </c>
      <c r="N52" s="11" t="s">
        <v>63</v>
      </c>
      <c r="O52" s="11">
        <v>0.0</v>
      </c>
      <c r="P52" s="11" t="s">
        <v>537</v>
      </c>
      <c r="Q52" s="11" t="s">
        <v>538</v>
      </c>
      <c r="R52" s="11"/>
      <c r="S52" s="11" t="s">
        <v>539</v>
      </c>
      <c r="T52" s="11"/>
      <c r="U52" s="11" t="s">
        <v>540</v>
      </c>
      <c r="V52" s="11" t="s">
        <v>101</v>
      </c>
      <c r="W52" s="11">
        <v>2152.0</v>
      </c>
      <c r="X52" s="11" t="s">
        <v>69</v>
      </c>
      <c r="Y52" s="11" t="s">
        <v>541</v>
      </c>
      <c r="Z52" s="11">
        <v>3.415469323E9</v>
      </c>
      <c r="AA52" s="11" t="s">
        <v>71</v>
      </c>
      <c r="AB52" s="11"/>
      <c r="AC52" s="11"/>
      <c r="AD52" s="18">
        <v>46285.5287962963</v>
      </c>
      <c r="AE52" s="11" t="s">
        <v>542</v>
      </c>
      <c r="AF52" s="11" t="s">
        <v>543</v>
      </c>
      <c r="AG52" s="18">
        <v>46285.65375</v>
      </c>
      <c r="AH52" s="18">
        <v>46285.6537962963</v>
      </c>
      <c r="AI52" s="11"/>
      <c r="AJ52" s="18">
        <v>46285.6537962963</v>
      </c>
      <c r="AK52" s="11">
        <v>18234.0</v>
      </c>
      <c r="AL52" s="21" t="s">
        <v>75</v>
      </c>
      <c r="AM52" s="16"/>
      <c r="AN52" s="16"/>
      <c r="AO52" s="23"/>
      <c r="AP52" s="16" t="s">
        <v>76</v>
      </c>
      <c r="AQ52" s="16">
        <v>3566.0</v>
      </c>
      <c r="AR52" s="16"/>
      <c r="AS52" s="11" t="s">
        <v>505</v>
      </c>
      <c r="AT52" s="11" t="s">
        <v>544</v>
      </c>
      <c r="AU52" s="11" t="s">
        <v>545</v>
      </c>
      <c r="AV52" s="11">
        <v>5.5311793E7</v>
      </c>
      <c r="AW52" s="11" t="s">
        <v>99</v>
      </c>
      <c r="AX52" s="11">
        <v>3.415469323E9</v>
      </c>
      <c r="AY52" s="11" t="s">
        <v>541</v>
      </c>
      <c r="AZ52" s="24">
        <v>42378.0</v>
      </c>
      <c r="BA52" s="11" t="s">
        <v>252</v>
      </c>
      <c r="BB52" s="11" t="s">
        <v>101</v>
      </c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</row>
    <row r="53" ht="19.5" customHeight="1">
      <c r="A53" s="10" t="b">
        <v>0</v>
      </c>
      <c r="B53" s="11"/>
      <c r="C53" s="13" t="s">
        <v>60</v>
      </c>
      <c r="D53" s="14" t="s">
        <v>60</v>
      </c>
      <c r="E53" s="11"/>
      <c r="F53" s="15" t="s">
        <v>4</v>
      </c>
      <c r="G53" s="16">
        <v>232.0</v>
      </c>
      <c r="H53" s="16"/>
      <c r="I53" s="16">
        <v>46955.0</v>
      </c>
      <c r="J53" s="11" t="s">
        <v>61</v>
      </c>
      <c r="K53" s="11" t="s">
        <v>62</v>
      </c>
      <c r="L53" s="18">
        <v>46285.67487268519</v>
      </c>
      <c r="M53" s="18">
        <v>46285.67491898148</v>
      </c>
      <c r="N53" s="11" t="s">
        <v>63</v>
      </c>
      <c r="O53" s="11">
        <v>0.0</v>
      </c>
      <c r="P53" s="11" t="s">
        <v>546</v>
      </c>
      <c r="Q53" s="11" t="s">
        <v>547</v>
      </c>
      <c r="R53" s="11"/>
      <c r="S53" s="11" t="s">
        <v>548</v>
      </c>
      <c r="T53" s="11"/>
      <c r="U53" s="11" t="s">
        <v>549</v>
      </c>
      <c r="V53" s="11" t="s">
        <v>68</v>
      </c>
      <c r="W53" s="11">
        <v>1900.0</v>
      </c>
      <c r="X53" s="11" t="s">
        <v>69</v>
      </c>
      <c r="Y53" s="11" t="s">
        <v>550</v>
      </c>
      <c r="Z53" s="11">
        <v>2.214956406E9</v>
      </c>
      <c r="AA53" s="11" t="s">
        <v>71</v>
      </c>
      <c r="AB53" s="11"/>
      <c r="AC53" s="11"/>
      <c r="AD53" s="18">
        <v>46285.67491898148</v>
      </c>
      <c r="AE53" s="11" t="s">
        <v>551</v>
      </c>
      <c r="AF53" s="11" t="s">
        <v>552</v>
      </c>
      <c r="AG53" s="18">
        <v>46285.79987268519</v>
      </c>
      <c r="AH53" s="18">
        <v>46285.79991898148</v>
      </c>
      <c r="AI53" s="11"/>
      <c r="AJ53" s="18">
        <v>46285.79991898148</v>
      </c>
      <c r="AK53" s="11">
        <v>18234.0</v>
      </c>
      <c r="AL53" s="21" t="s">
        <v>75</v>
      </c>
      <c r="AM53" s="16"/>
      <c r="AN53" s="16"/>
      <c r="AO53" s="23" t="s">
        <v>553</v>
      </c>
      <c r="AP53" s="16" t="s">
        <v>76</v>
      </c>
      <c r="AQ53" s="16">
        <v>2640.0</v>
      </c>
      <c r="AR53" s="16"/>
      <c r="AS53" s="11" t="s">
        <v>433</v>
      </c>
      <c r="AT53" s="11" t="s">
        <v>554</v>
      </c>
      <c r="AU53" s="11" t="s">
        <v>555</v>
      </c>
      <c r="AV53" s="11">
        <v>5.5896534E7</v>
      </c>
      <c r="AW53" s="11" t="s">
        <v>99</v>
      </c>
      <c r="AX53" s="11">
        <v>2.214956406E9</v>
      </c>
      <c r="AY53" s="11" t="s">
        <v>550</v>
      </c>
      <c r="AZ53" s="30">
        <v>42661.0</v>
      </c>
      <c r="BA53" s="11" t="s">
        <v>144</v>
      </c>
      <c r="BB53" s="11" t="s">
        <v>81</v>
      </c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</row>
    <row r="54" ht="19.5" customHeight="1">
      <c r="A54" s="10" t="b">
        <v>1</v>
      </c>
      <c r="B54" s="42" t="s">
        <v>556</v>
      </c>
      <c r="C54" s="13" t="s">
        <v>60</v>
      </c>
      <c r="D54" s="14" t="s">
        <v>60</v>
      </c>
      <c r="E54" s="11"/>
      <c r="F54" s="15" t="s">
        <v>4</v>
      </c>
      <c r="G54" s="16">
        <v>234.0</v>
      </c>
      <c r="H54" s="16"/>
      <c r="I54" s="16">
        <v>46957.0</v>
      </c>
      <c r="J54" s="11" t="s">
        <v>61</v>
      </c>
      <c r="K54" s="11" t="s">
        <v>62</v>
      </c>
      <c r="L54" s="18">
        <v>46285.68362268519</v>
      </c>
      <c r="M54" s="18">
        <v>46285.68368055556</v>
      </c>
      <c r="N54" s="11" t="s">
        <v>63</v>
      </c>
      <c r="O54" s="11">
        <v>0.0</v>
      </c>
      <c r="P54" s="11" t="s">
        <v>557</v>
      </c>
      <c r="Q54" s="11" t="s">
        <v>558</v>
      </c>
      <c r="R54" s="11"/>
      <c r="S54" s="11" t="s">
        <v>559</v>
      </c>
      <c r="T54" s="11" t="s">
        <v>560</v>
      </c>
      <c r="U54" s="11" t="s">
        <v>362</v>
      </c>
      <c r="V54" s="11" t="s">
        <v>126</v>
      </c>
      <c r="W54" s="11">
        <v>1425.0</v>
      </c>
      <c r="X54" s="11" t="s">
        <v>69</v>
      </c>
      <c r="Y54" s="11" t="s">
        <v>561</v>
      </c>
      <c r="Z54" s="11">
        <v>1.141647489E9</v>
      </c>
      <c r="AA54" s="11" t="s">
        <v>71</v>
      </c>
      <c r="AB54" s="11"/>
      <c r="AC54" s="11"/>
      <c r="AD54" s="18">
        <v>46285.68368055556</v>
      </c>
      <c r="AE54" s="11" t="s">
        <v>562</v>
      </c>
      <c r="AF54" s="11" t="s">
        <v>563</v>
      </c>
      <c r="AG54" s="18">
        <v>46285.80862268519</v>
      </c>
      <c r="AH54" s="18">
        <v>46285.80868055556</v>
      </c>
      <c r="AI54" s="11"/>
      <c r="AJ54" s="18">
        <v>46285.80868055556</v>
      </c>
      <c r="AK54" s="11">
        <v>18234.0</v>
      </c>
      <c r="AL54" s="21" t="s">
        <v>75</v>
      </c>
      <c r="AM54" s="16"/>
      <c r="AN54" s="16"/>
      <c r="AO54" s="23" t="s">
        <v>564</v>
      </c>
      <c r="AP54" s="43" t="s">
        <v>76</v>
      </c>
      <c r="AQ54" s="16">
        <v>4277.0</v>
      </c>
      <c r="AR54" s="16"/>
      <c r="AS54" s="11" t="s">
        <v>251</v>
      </c>
      <c r="AT54" s="11" t="s">
        <v>565</v>
      </c>
      <c r="AU54" s="11" t="s">
        <v>566</v>
      </c>
      <c r="AV54" s="11">
        <v>5.4797935E7</v>
      </c>
      <c r="AW54" s="11" t="s">
        <v>99</v>
      </c>
      <c r="AX54" s="11">
        <v>1.141647489E9</v>
      </c>
      <c r="AY54" s="11" t="s">
        <v>561</v>
      </c>
      <c r="AZ54" s="24">
        <v>42123.0</v>
      </c>
      <c r="BA54" s="11" t="s">
        <v>567</v>
      </c>
      <c r="BB54" s="11" t="s">
        <v>81</v>
      </c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</row>
    <row r="55" ht="19.5" customHeight="1">
      <c r="A55" s="10" t="b">
        <v>0</v>
      </c>
      <c r="B55" s="11"/>
      <c r="C55" s="13" t="s">
        <v>60</v>
      </c>
      <c r="D55" s="14" t="s">
        <v>60</v>
      </c>
      <c r="E55" s="11"/>
      <c r="F55" s="15" t="s">
        <v>4</v>
      </c>
      <c r="G55" s="16">
        <v>242.0</v>
      </c>
      <c r="H55" s="16"/>
      <c r="I55" s="16">
        <v>46965.0</v>
      </c>
      <c r="J55" s="11" t="s">
        <v>302</v>
      </c>
      <c r="K55" s="11" t="s">
        <v>62</v>
      </c>
      <c r="L55" s="18">
        <v>46285.7566087963</v>
      </c>
      <c r="M55" s="18">
        <v>46285.756689814814</v>
      </c>
      <c r="N55" s="11" t="s">
        <v>63</v>
      </c>
      <c r="O55" s="11">
        <v>0.0</v>
      </c>
      <c r="P55" s="11" t="s">
        <v>568</v>
      </c>
      <c r="Q55" s="11" t="s">
        <v>569</v>
      </c>
      <c r="R55" s="11"/>
      <c r="S55" s="11" t="s">
        <v>570</v>
      </c>
      <c r="T55" s="11"/>
      <c r="U55" s="11" t="s">
        <v>571</v>
      </c>
      <c r="V55" s="11" t="s">
        <v>68</v>
      </c>
      <c r="W55" s="11">
        <v>1847.0</v>
      </c>
      <c r="X55" s="11" t="s">
        <v>69</v>
      </c>
      <c r="Y55" s="11" t="s">
        <v>572</v>
      </c>
      <c r="Z55" s="11">
        <v>1.131190621E9</v>
      </c>
      <c r="AA55" s="11" t="s">
        <v>71</v>
      </c>
      <c r="AB55" s="11"/>
      <c r="AC55" s="11"/>
      <c r="AD55" s="11"/>
      <c r="AE55" s="11" t="s">
        <v>573</v>
      </c>
      <c r="AF55" s="11" t="s">
        <v>574</v>
      </c>
      <c r="AG55" s="18">
        <v>46285.8816087963</v>
      </c>
      <c r="AH55" s="18">
        <v>46285.881689814814</v>
      </c>
      <c r="AI55" s="11"/>
      <c r="AJ55" s="11"/>
      <c r="AK55" s="11">
        <v>18253.0</v>
      </c>
      <c r="AL55" s="21" t="s">
        <v>75</v>
      </c>
      <c r="AM55" s="16"/>
      <c r="AN55" s="16"/>
      <c r="AO55" s="23"/>
      <c r="AP55" s="16" t="s">
        <v>76</v>
      </c>
      <c r="AQ55" s="16">
        <v>2433.0</v>
      </c>
      <c r="AR55" s="16"/>
      <c r="AS55" s="11" t="s">
        <v>480</v>
      </c>
      <c r="AT55" s="11" t="s">
        <v>575</v>
      </c>
      <c r="AU55" s="11" t="s">
        <v>576</v>
      </c>
      <c r="AV55" s="11">
        <v>5.5340239E7</v>
      </c>
      <c r="AW55" s="11" t="s">
        <v>99</v>
      </c>
      <c r="AX55" s="11">
        <v>1.131190621E9</v>
      </c>
      <c r="AY55" s="11" t="s">
        <v>572</v>
      </c>
      <c r="AZ55" s="24">
        <v>42415.0</v>
      </c>
      <c r="BA55" s="11" t="s">
        <v>567</v>
      </c>
      <c r="BB55" s="11" t="s">
        <v>81</v>
      </c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</row>
    <row r="56" ht="19.5" customHeight="1">
      <c r="A56" s="10" t="b">
        <v>0</v>
      </c>
      <c r="B56" s="11"/>
      <c r="C56" s="13" t="s">
        <v>60</v>
      </c>
      <c r="D56" s="14" t="s">
        <v>60</v>
      </c>
      <c r="E56" s="11"/>
      <c r="F56" s="15" t="s">
        <v>4</v>
      </c>
      <c r="G56" s="16">
        <v>243.0</v>
      </c>
      <c r="H56" s="16"/>
      <c r="I56" s="16">
        <v>46966.0</v>
      </c>
      <c r="J56" s="11" t="s">
        <v>61</v>
      </c>
      <c r="K56" s="11" t="s">
        <v>62</v>
      </c>
      <c r="L56" s="18">
        <v>46285.769479166665</v>
      </c>
      <c r="M56" s="18">
        <v>46285.769583333335</v>
      </c>
      <c r="N56" s="11" t="s">
        <v>63</v>
      </c>
      <c r="O56" s="11">
        <v>0.0</v>
      </c>
      <c r="P56" s="11" t="s">
        <v>577</v>
      </c>
      <c r="Q56" s="11" t="s">
        <v>578</v>
      </c>
      <c r="R56" s="11"/>
      <c r="S56" s="11" t="s">
        <v>579</v>
      </c>
      <c r="T56" s="11"/>
      <c r="U56" s="11" t="s">
        <v>580</v>
      </c>
      <c r="V56" s="11" t="s">
        <v>68</v>
      </c>
      <c r="W56" s="11">
        <v>1642.0</v>
      </c>
      <c r="X56" s="11" t="s">
        <v>69</v>
      </c>
      <c r="Y56" s="11" t="s">
        <v>581</v>
      </c>
      <c r="Z56" s="11">
        <v>5.41141633517E11</v>
      </c>
      <c r="AA56" s="11" t="s">
        <v>71</v>
      </c>
      <c r="AB56" s="11"/>
      <c r="AC56" s="11"/>
      <c r="AD56" s="18">
        <v>46285.769583333335</v>
      </c>
      <c r="AE56" s="11" t="s">
        <v>582</v>
      </c>
      <c r="AF56" s="11" t="s">
        <v>583</v>
      </c>
      <c r="AG56" s="18">
        <v>46285.894479166665</v>
      </c>
      <c r="AH56" s="18">
        <v>46285.894583333335</v>
      </c>
      <c r="AI56" s="11"/>
      <c r="AJ56" s="18">
        <v>46285.894583333335</v>
      </c>
      <c r="AK56" s="11">
        <v>18234.0</v>
      </c>
      <c r="AL56" s="21" t="s">
        <v>75</v>
      </c>
      <c r="AM56" s="16"/>
      <c r="AN56" s="14" t="s">
        <v>39</v>
      </c>
      <c r="AO56" s="23" t="s">
        <v>584</v>
      </c>
      <c r="AP56" s="16" t="s">
        <v>76</v>
      </c>
      <c r="AQ56" s="16">
        <v>4065.0</v>
      </c>
      <c r="AR56" s="16"/>
      <c r="AS56" s="11" t="s">
        <v>251</v>
      </c>
      <c r="AT56" s="11" t="s">
        <v>585</v>
      </c>
      <c r="AU56" s="11" t="s">
        <v>586</v>
      </c>
      <c r="AV56" s="11">
        <v>5.3286971E7</v>
      </c>
      <c r="AW56" s="11" t="s">
        <v>79</v>
      </c>
      <c r="AX56" s="11">
        <v>1.141633517E9</v>
      </c>
      <c r="AY56" s="11" t="s">
        <v>581</v>
      </c>
      <c r="AZ56" s="24">
        <v>41464.0</v>
      </c>
      <c r="BA56" s="11" t="s">
        <v>587</v>
      </c>
      <c r="BB56" s="11" t="s">
        <v>101</v>
      </c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</row>
    <row r="57" ht="19.5" customHeight="1">
      <c r="A57" s="10" t="b">
        <v>0</v>
      </c>
      <c r="B57" s="11"/>
      <c r="C57" s="13" t="s">
        <v>60</v>
      </c>
      <c r="D57" s="14" t="s">
        <v>60</v>
      </c>
      <c r="E57" s="11"/>
      <c r="F57" s="15" t="s">
        <v>4</v>
      </c>
      <c r="G57" s="16">
        <v>248.0</v>
      </c>
      <c r="H57" s="16"/>
      <c r="I57" s="16">
        <v>46971.0</v>
      </c>
      <c r="J57" s="11" t="s">
        <v>61</v>
      </c>
      <c r="K57" s="11" t="s">
        <v>62</v>
      </c>
      <c r="L57" s="18">
        <v>46285.798055555555</v>
      </c>
      <c r="M57" s="18">
        <v>46285.798101851855</v>
      </c>
      <c r="N57" s="11" t="s">
        <v>63</v>
      </c>
      <c r="O57" s="11">
        <v>0.0</v>
      </c>
      <c r="P57" s="11" t="s">
        <v>588</v>
      </c>
      <c r="Q57" s="11" t="s">
        <v>589</v>
      </c>
      <c r="R57" s="11"/>
      <c r="S57" s="11" t="s">
        <v>590</v>
      </c>
      <c r="T57" s="11"/>
      <c r="U57" s="11" t="s">
        <v>591</v>
      </c>
      <c r="V57" s="11" t="s">
        <v>68</v>
      </c>
      <c r="W57" s="11">
        <v>1642.0</v>
      </c>
      <c r="X57" s="11" t="s">
        <v>69</v>
      </c>
      <c r="Y57" s="11" t="s">
        <v>592</v>
      </c>
      <c r="Z57" s="11">
        <v>1.140731677E9</v>
      </c>
      <c r="AA57" s="11" t="s">
        <v>71</v>
      </c>
      <c r="AB57" s="11"/>
      <c r="AC57" s="11"/>
      <c r="AD57" s="11"/>
      <c r="AE57" s="11" t="s">
        <v>593</v>
      </c>
      <c r="AF57" s="11" t="s">
        <v>594</v>
      </c>
      <c r="AG57" s="18">
        <v>46285.923055555555</v>
      </c>
      <c r="AH57" s="18">
        <v>46285.923101851855</v>
      </c>
      <c r="AI57" s="11"/>
      <c r="AJ57" s="11"/>
      <c r="AK57" s="11">
        <v>18234.0</v>
      </c>
      <c r="AL57" s="21" t="s">
        <v>75</v>
      </c>
      <c r="AM57" s="16"/>
      <c r="AN57" s="14" t="s">
        <v>39</v>
      </c>
      <c r="AO57" s="23" t="s">
        <v>595</v>
      </c>
      <c r="AP57" s="16" t="s">
        <v>76</v>
      </c>
      <c r="AQ57" s="16">
        <v>4039.0</v>
      </c>
      <c r="AR57" s="16"/>
      <c r="AS57" s="11" t="s">
        <v>251</v>
      </c>
      <c r="AT57" s="11" t="s">
        <v>78</v>
      </c>
      <c r="AU57" s="11" t="s">
        <v>589</v>
      </c>
      <c r="AV57" s="11">
        <v>5.5002671E7</v>
      </c>
      <c r="AW57" s="11" t="s">
        <v>79</v>
      </c>
      <c r="AX57" s="11">
        <v>1.140731677E9</v>
      </c>
      <c r="AY57" s="11" t="s">
        <v>592</v>
      </c>
      <c r="AZ57" s="24">
        <v>42233.0</v>
      </c>
      <c r="BA57" s="11" t="s">
        <v>144</v>
      </c>
      <c r="BB57" s="11" t="s">
        <v>101</v>
      </c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</row>
    <row r="58" ht="19.5" customHeight="1">
      <c r="A58" s="10" t="b">
        <v>0</v>
      </c>
      <c r="B58" s="11"/>
      <c r="C58" s="13" t="s">
        <v>59</v>
      </c>
      <c r="D58" s="14" t="s">
        <v>60</v>
      </c>
      <c r="E58" s="11"/>
      <c r="F58" s="15" t="s">
        <v>4</v>
      </c>
      <c r="G58" s="16">
        <v>249.0</v>
      </c>
      <c r="H58" s="16"/>
      <c r="I58" s="16">
        <v>46972.0</v>
      </c>
      <c r="J58" s="11" t="s">
        <v>61</v>
      </c>
      <c r="K58" s="11" t="s">
        <v>62</v>
      </c>
      <c r="L58" s="18">
        <v>46285.80136574074</v>
      </c>
      <c r="M58" s="18">
        <v>46285.801412037035</v>
      </c>
      <c r="N58" s="11" t="s">
        <v>63</v>
      </c>
      <c r="O58" s="11">
        <v>0.0</v>
      </c>
      <c r="P58" s="11" t="s">
        <v>596</v>
      </c>
      <c r="Q58" s="11" t="s">
        <v>597</v>
      </c>
      <c r="R58" s="11"/>
      <c r="S58" s="11" t="s">
        <v>598</v>
      </c>
      <c r="T58" s="11" t="s">
        <v>599</v>
      </c>
      <c r="U58" s="11" t="s">
        <v>342</v>
      </c>
      <c r="V58" s="11" t="s">
        <v>126</v>
      </c>
      <c r="W58" s="11">
        <v>1623.0</v>
      </c>
      <c r="X58" s="11" t="s">
        <v>69</v>
      </c>
      <c r="Y58" s="11" t="s">
        <v>600</v>
      </c>
      <c r="Z58" s="11">
        <v>1.128646507E9</v>
      </c>
      <c r="AA58" s="11" t="s">
        <v>71</v>
      </c>
      <c r="AB58" s="11"/>
      <c r="AC58" s="11"/>
      <c r="AD58" s="18">
        <v>46285.801412037035</v>
      </c>
      <c r="AE58" s="11" t="s">
        <v>601</v>
      </c>
      <c r="AF58" s="11" t="s">
        <v>602</v>
      </c>
      <c r="AG58" s="18">
        <v>46285.92636574074</v>
      </c>
      <c r="AH58" s="18">
        <v>46285.926412037035</v>
      </c>
      <c r="AI58" s="11"/>
      <c r="AJ58" s="18">
        <v>46285.926412037035</v>
      </c>
      <c r="AK58" s="11">
        <v>18234.0</v>
      </c>
      <c r="AL58" s="21" t="s">
        <v>75</v>
      </c>
      <c r="AM58" s="16"/>
      <c r="AN58" s="16"/>
      <c r="AO58" s="23"/>
      <c r="AP58" s="16" t="s">
        <v>76</v>
      </c>
      <c r="AQ58" s="16">
        <v>4119.0</v>
      </c>
      <c r="AR58" s="16"/>
      <c r="AS58" s="11" t="s">
        <v>97</v>
      </c>
      <c r="AT58" s="11" t="s">
        <v>603</v>
      </c>
      <c r="AU58" s="11" t="s">
        <v>604</v>
      </c>
      <c r="AV58" s="11">
        <v>5.4387136E7</v>
      </c>
      <c r="AW58" s="11" t="s">
        <v>99</v>
      </c>
      <c r="AX58" s="11">
        <v>1.128646507E9</v>
      </c>
      <c r="AY58" s="11" t="s">
        <v>600</v>
      </c>
      <c r="AZ58" s="24">
        <v>41939.0</v>
      </c>
      <c r="BA58" s="11" t="s">
        <v>144</v>
      </c>
      <c r="BB58" s="11" t="s">
        <v>101</v>
      </c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</row>
    <row r="59" ht="19.5" customHeight="1">
      <c r="A59" s="10" t="b">
        <v>1</v>
      </c>
      <c r="B59" s="42" t="s">
        <v>605</v>
      </c>
      <c r="C59" s="13" t="s">
        <v>59</v>
      </c>
      <c r="D59" s="14" t="s">
        <v>60</v>
      </c>
      <c r="E59" s="11"/>
      <c r="F59" s="15" t="s">
        <v>4</v>
      </c>
      <c r="G59" s="16">
        <v>1062.0</v>
      </c>
      <c r="H59" s="16"/>
      <c r="I59" s="16">
        <v>46980.0</v>
      </c>
      <c r="J59" s="11" t="s">
        <v>61</v>
      </c>
      <c r="K59" s="11" t="s">
        <v>62</v>
      </c>
      <c r="L59" s="18">
        <v>46285.86137731482</v>
      </c>
      <c r="M59" s="18">
        <v>46285.86142361111</v>
      </c>
      <c r="N59" s="11" t="s">
        <v>63</v>
      </c>
      <c r="O59" s="11">
        <v>0.0</v>
      </c>
      <c r="P59" s="11" t="s">
        <v>606</v>
      </c>
      <c r="Q59" s="11" t="s">
        <v>607</v>
      </c>
      <c r="R59" s="11"/>
      <c r="S59" s="11" t="s">
        <v>608</v>
      </c>
      <c r="T59" s="11"/>
      <c r="U59" s="11" t="s">
        <v>362</v>
      </c>
      <c r="V59" s="11" t="s">
        <v>68</v>
      </c>
      <c r="W59" s="11">
        <v>1071.0</v>
      </c>
      <c r="X59" s="11" t="s">
        <v>69</v>
      </c>
      <c r="Y59" s="11" t="s">
        <v>609</v>
      </c>
      <c r="Z59" s="11">
        <v>5.41149914203E11</v>
      </c>
      <c r="AA59" s="11" t="s">
        <v>71</v>
      </c>
      <c r="AB59" s="11"/>
      <c r="AC59" s="11"/>
      <c r="AD59" s="18">
        <v>46285.86142361111</v>
      </c>
      <c r="AE59" s="11" t="s">
        <v>610</v>
      </c>
      <c r="AF59" s="11" t="s">
        <v>611</v>
      </c>
      <c r="AG59" s="18">
        <v>46285.98637731482</v>
      </c>
      <c r="AH59" s="18">
        <v>46285.98642361111</v>
      </c>
      <c r="AI59" s="11"/>
      <c r="AJ59" s="18">
        <v>46285.98642361111</v>
      </c>
      <c r="AK59" s="11">
        <v>18234.0</v>
      </c>
      <c r="AL59" s="21" t="s">
        <v>75</v>
      </c>
      <c r="AM59" s="16"/>
      <c r="AN59" s="43"/>
      <c r="AO59" s="23"/>
      <c r="AP59" s="16" t="s">
        <v>76</v>
      </c>
      <c r="AQ59" s="16">
        <v>4049.0</v>
      </c>
      <c r="AR59" s="16"/>
      <c r="AS59" s="11" t="s">
        <v>612</v>
      </c>
      <c r="AT59" s="42" t="s">
        <v>120</v>
      </c>
      <c r="AU59" s="42" t="s">
        <v>613</v>
      </c>
      <c r="AV59" s="11">
        <v>5.3329524E7</v>
      </c>
      <c r="AW59" s="11" t="s">
        <v>99</v>
      </c>
      <c r="AX59" s="11">
        <v>1.149914203E9</v>
      </c>
      <c r="AY59" s="11" t="s">
        <v>609</v>
      </c>
      <c r="AZ59" s="31">
        <v>41437.0</v>
      </c>
      <c r="BA59" s="11" t="s">
        <v>252</v>
      </c>
      <c r="BB59" s="11" t="s">
        <v>101</v>
      </c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</row>
    <row r="60" ht="19.5" customHeight="1">
      <c r="A60" s="10" t="b">
        <v>0</v>
      </c>
      <c r="B60" s="11"/>
      <c r="C60" s="13" t="s">
        <v>60</v>
      </c>
      <c r="D60" s="14" t="s">
        <v>60</v>
      </c>
      <c r="E60" s="11"/>
      <c r="F60" s="15" t="s">
        <v>4</v>
      </c>
      <c r="G60" s="16">
        <v>262.0</v>
      </c>
      <c r="H60" s="16"/>
      <c r="I60" s="16">
        <v>46985.0</v>
      </c>
      <c r="J60" s="11" t="s">
        <v>402</v>
      </c>
      <c r="K60" s="11" t="s">
        <v>62</v>
      </c>
      <c r="L60" s="18">
        <v>46285.886400462965</v>
      </c>
      <c r="M60" s="18">
        <v>46285.886400462965</v>
      </c>
      <c r="N60" s="11" t="s">
        <v>63</v>
      </c>
      <c r="O60" s="11">
        <v>0.0</v>
      </c>
      <c r="P60" s="11" t="s">
        <v>614</v>
      </c>
      <c r="Q60" s="11" t="s">
        <v>615</v>
      </c>
      <c r="R60" s="11"/>
      <c r="S60" s="11" t="s">
        <v>616</v>
      </c>
      <c r="T60" s="11"/>
      <c r="U60" s="11" t="s">
        <v>617</v>
      </c>
      <c r="V60" s="11" t="s">
        <v>68</v>
      </c>
      <c r="W60" s="11">
        <v>1686.0</v>
      </c>
      <c r="X60" s="11" t="s">
        <v>69</v>
      </c>
      <c r="Y60" s="11" t="s">
        <v>618</v>
      </c>
      <c r="Z60" s="11">
        <v>1.140488904E9</v>
      </c>
      <c r="AA60" s="11" t="s">
        <v>71</v>
      </c>
      <c r="AB60" s="11"/>
      <c r="AC60" s="11"/>
      <c r="AD60" s="11"/>
      <c r="AE60" s="11" t="s">
        <v>619</v>
      </c>
      <c r="AF60" s="11" t="s">
        <v>620</v>
      </c>
      <c r="AG60" s="18">
        <v>46286.011400462965</v>
      </c>
      <c r="AH60" s="18">
        <v>46286.011400462965</v>
      </c>
      <c r="AI60" s="11"/>
      <c r="AJ60" s="11"/>
      <c r="AK60" s="11">
        <v>18234.0</v>
      </c>
      <c r="AL60" s="21" t="s">
        <v>75</v>
      </c>
      <c r="AM60" s="16"/>
      <c r="AN60" s="14" t="s">
        <v>39</v>
      </c>
      <c r="AO60" s="23"/>
      <c r="AP60" s="16" t="s">
        <v>76</v>
      </c>
      <c r="AQ60" s="16">
        <v>3596.0</v>
      </c>
      <c r="AR60" s="16"/>
      <c r="AS60" s="11" t="s">
        <v>298</v>
      </c>
      <c r="AT60" s="11" t="s">
        <v>621</v>
      </c>
      <c r="AU60" s="11" t="s">
        <v>622</v>
      </c>
      <c r="AV60" s="11">
        <v>5.5072058E7</v>
      </c>
      <c r="AW60" s="11" t="s">
        <v>79</v>
      </c>
      <c r="AX60" s="11">
        <v>1.140488904E9</v>
      </c>
      <c r="AY60" s="11" t="s">
        <v>623</v>
      </c>
      <c r="AZ60" s="24">
        <v>42266.0</v>
      </c>
      <c r="BA60" s="11" t="s">
        <v>144</v>
      </c>
      <c r="BB60" s="11" t="s">
        <v>81</v>
      </c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</row>
    <row r="61" ht="19.5" customHeight="1">
      <c r="A61" s="10" t="b">
        <v>0</v>
      </c>
      <c r="B61" s="11"/>
      <c r="C61" s="13" t="s">
        <v>60</v>
      </c>
      <c r="D61" s="14" t="s">
        <v>60</v>
      </c>
      <c r="E61" s="11"/>
      <c r="F61" s="15" t="s">
        <v>4</v>
      </c>
      <c r="G61" s="16">
        <v>265.0</v>
      </c>
      <c r="H61" s="16"/>
      <c r="I61" s="16">
        <v>46988.0</v>
      </c>
      <c r="J61" s="11" t="s">
        <v>402</v>
      </c>
      <c r="K61" s="11" t="s">
        <v>62</v>
      </c>
      <c r="L61" s="18">
        <v>46285.90513888889</v>
      </c>
      <c r="M61" s="18">
        <v>46285.90513888889</v>
      </c>
      <c r="N61" s="11" t="s">
        <v>63</v>
      </c>
      <c r="O61" s="11">
        <v>0.0</v>
      </c>
      <c r="P61" s="11" t="s">
        <v>261</v>
      </c>
      <c r="Q61" s="11" t="s">
        <v>624</v>
      </c>
      <c r="R61" s="11"/>
      <c r="S61" s="11" t="s">
        <v>625</v>
      </c>
      <c r="T61" s="11"/>
      <c r="U61" s="11" t="s">
        <v>158</v>
      </c>
      <c r="V61" s="11" t="s">
        <v>126</v>
      </c>
      <c r="W61" s="11">
        <v>1430.0</v>
      </c>
      <c r="X61" s="11" t="s">
        <v>69</v>
      </c>
      <c r="Y61" s="11" t="s">
        <v>626</v>
      </c>
      <c r="Z61" s="11">
        <v>1.536571538E9</v>
      </c>
      <c r="AA61" s="11" t="s">
        <v>71</v>
      </c>
      <c r="AB61" s="11"/>
      <c r="AC61" s="11"/>
      <c r="AD61" s="11"/>
      <c r="AE61" s="11" t="s">
        <v>627</v>
      </c>
      <c r="AF61" s="11" t="s">
        <v>628</v>
      </c>
      <c r="AG61" s="18">
        <v>46286.03013888889</v>
      </c>
      <c r="AH61" s="18">
        <v>46286.03013888889</v>
      </c>
      <c r="AI61" s="11"/>
      <c r="AJ61" s="11"/>
      <c r="AK61" s="11">
        <v>18234.0</v>
      </c>
      <c r="AL61" s="21" t="s">
        <v>75</v>
      </c>
      <c r="AM61" s="16"/>
      <c r="AN61" s="14"/>
      <c r="AO61" s="23"/>
      <c r="AP61" s="16" t="s">
        <v>76</v>
      </c>
      <c r="AQ61" s="16">
        <v>3876.0</v>
      </c>
      <c r="AR61" s="16"/>
      <c r="AS61" s="11" t="s">
        <v>240</v>
      </c>
      <c r="AT61" s="11" t="s">
        <v>629</v>
      </c>
      <c r="AU61" s="11" t="s">
        <v>630</v>
      </c>
      <c r="AV61" s="11">
        <v>5.4510525E7</v>
      </c>
      <c r="AW61" s="11" t="s">
        <v>99</v>
      </c>
      <c r="AX61" s="11">
        <v>1.136571538E9</v>
      </c>
      <c r="AY61" s="11" t="s">
        <v>626</v>
      </c>
      <c r="AZ61" s="24">
        <v>41999.0</v>
      </c>
      <c r="BA61" s="11" t="s">
        <v>100</v>
      </c>
      <c r="BB61" s="11" t="s">
        <v>101</v>
      </c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</row>
    <row r="62" ht="19.5" customHeight="1">
      <c r="A62" s="10" t="b">
        <v>0</v>
      </c>
      <c r="B62" s="11"/>
      <c r="C62" s="13" t="s">
        <v>60</v>
      </c>
      <c r="D62" s="14" t="s">
        <v>60</v>
      </c>
      <c r="E62" s="11"/>
      <c r="F62" s="15" t="s">
        <v>4</v>
      </c>
      <c r="G62" s="16">
        <v>268.0</v>
      </c>
      <c r="H62" s="16"/>
      <c r="I62" s="16">
        <v>46991.0</v>
      </c>
      <c r="J62" s="11" t="s">
        <v>61</v>
      </c>
      <c r="K62" s="11" t="s">
        <v>62</v>
      </c>
      <c r="L62" s="18">
        <v>46285.92376157407</v>
      </c>
      <c r="M62" s="18">
        <v>46285.923842592594</v>
      </c>
      <c r="N62" s="11" t="s">
        <v>63</v>
      </c>
      <c r="O62" s="11">
        <v>0.0</v>
      </c>
      <c r="P62" s="11" t="s">
        <v>631</v>
      </c>
      <c r="Q62" s="11" t="s">
        <v>632</v>
      </c>
      <c r="R62" s="11"/>
      <c r="S62" s="11" t="s">
        <v>633</v>
      </c>
      <c r="T62" s="11"/>
      <c r="U62" s="11" t="s">
        <v>276</v>
      </c>
      <c r="V62" s="11" t="s">
        <v>126</v>
      </c>
      <c r="W62" s="11">
        <v>1417.0</v>
      </c>
      <c r="X62" s="11" t="s">
        <v>69</v>
      </c>
      <c r="Y62" s="11" t="s">
        <v>634</v>
      </c>
      <c r="Z62" s="11">
        <v>1.133511465E9</v>
      </c>
      <c r="AA62" s="11" t="s">
        <v>71</v>
      </c>
      <c r="AB62" s="11"/>
      <c r="AC62" s="11"/>
      <c r="AD62" s="11"/>
      <c r="AE62" s="11" t="s">
        <v>635</v>
      </c>
      <c r="AF62" s="11" t="s">
        <v>636</v>
      </c>
      <c r="AG62" s="18">
        <v>46286.04876157407</v>
      </c>
      <c r="AH62" s="18">
        <v>46286.048842592594</v>
      </c>
      <c r="AI62" s="11"/>
      <c r="AJ62" s="11"/>
      <c r="AK62" s="11">
        <v>18234.0</v>
      </c>
      <c r="AL62" s="21" t="s">
        <v>75</v>
      </c>
      <c r="AM62" s="16"/>
      <c r="AN62" s="16"/>
      <c r="AO62" s="23" t="s">
        <v>637</v>
      </c>
      <c r="AP62" s="16" t="s">
        <v>76</v>
      </c>
      <c r="AQ62" s="16">
        <v>3079.0</v>
      </c>
      <c r="AR62" s="16"/>
      <c r="AS62" s="11" t="s">
        <v>240</v>
      </c>
      <c r="AT62" s="11" t="s">
        <v>638</v>
      </c>
      <c r="AU62" s="11" t="s">
        <v>639</v>
      </c>
      <c r="AV62" s="11">
        <v>5.276931E7</v>
      </c>
      <c r="AW62" s="11" t="s">
        <v>99</v>
      </c>
      <c r="AX62" s="11">
        <v>1.133511465E9</v>
      </c>
      <c r="AY62" s="11" t="s">
        <v>634</v>
      </c>
      <c r="AZ62" s="24">
        <v>41220.0</v>
      </c>
      <c r="BA62" s="11" t="s">
        <v>640</v>
      </c>
      <c r="BB62" s="11" t="s">
        <v>349</v>
      </c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</row>
    <row r="63" ht="19.5" customHeight="1">
      <c r="A63" s="10" t="b">
        <v>0</v>
      </c>
      <c r="B63" s="11"/>
      <c r="C63" s="13" t="s">
        <v>59</v>
      </c>
      <c r="D63" s="14" t="s">
        <v>60</v>
      </c>
      <c r="E63" s="11"/>
      <c r="F63" s="15" t="s">
        <v>4</v>
      </c>
      <c r="G63" s="16">
        <v>269.0</v>
      </c>
      <c r="H63" s="16"/>
      <c r="I63" s="16">
        <v>46992.0</v>
      </c>
      <c r="J63" s="11" t="s">
        <v>61</v>
      </c>
      <c r="K63" s="11" t="s">
        <v>62</v>
      </c>
      <c r="L63" s="18">
        <v>46285.924259259256</v>
      </c>
      <c r="M63" s="18">
        <v>46285.92427083333</v>
      </c>
      <c r="N63" s="11" t="s">
        <v>63</v>
      </c>
      <c r="O63" s="11">
        <v>0.0</v>
      </c>
      <c r="P63" s="11" t="s">
        <v>200</v>
      </c>
      <c r="Q63" s="11" t="s">
        <v>641</v>
      </c>
      <c r="R63" s="11"/>
      <c r="S63" s="11" t="s">
        <v>642</v>
      </c>
      <c r="T63" s="11"/>
      <c r="U63" s="11" t="s">
        <v>643</v>
      </c>
      <c r="V63" s="11" t="s">
        <v>101</v>
      </c>
      <c r="W63" s="11">
        <v>2000.0</v>
      </c>
      <c r="X63" s="11" t="s">
        <v>69</v>
      </c>
      <c r="Y63" s="11" t="s">
        <v>644</v>
      </c>
      <c r="Z63" s="11">
        <v>3.41200195E9</v>
      </c>
      <c r="AA63" s="11" t="s">
        <v>645</v>
      </c>
      <c r="AB63" s="11"/>
      <c r="AC63" s="11"/>
      <c r="AD63" s="11"/>
      <c r="AE63" s="11" t="s">
        <v>646</v>
      </c>
      <c r="AF63" s="11" t="s">
        <v>647</v>
      </c>
      <c r="AG63" s="18">
        <v>46286.049259259256</v>
      </c>
      <c r="AH63" s="18">
        <v>46286.04927083333</v>
      </c>
      <c r="AI63" s="11"/>
      <c r="AJ63" s="11"/>
      <c r="AK63" s="11">
        <v>18234.0</v>
      </c>
      <c r="AL63" s="21" t="s">
        <v>75</v>
      </c>
      <c r="AM63" s="16"/>
      <c r="AN63" s="14" t="s">
        <v>39</v>
      </c>
      <c r="AO63" s="23">
        <v>4357.0</v>
      </c>
      <c r="AP63" s="16" t="s">
        <v>76</v>
      </c>
      <c r="AQ63" s="16">
        <v>4357.0</v>
      </c>
      <c r="AR63" s="16"/>
      <c r="AS63" s="11" t="s">
        <v>648</v>
      </c>
      <c r="AT63" s="11" t="s">
        <v>649</v>
      </c>
      <c r="AU63" s="11" t="s">
        <v>650</v>
      </c>
      <c r="AV63" s="11">
        <v>5.4302373E7</v>
      </c>
      <c r="AW63" s="11" t="s">
        <v>79</v>
      </c>
      <c r="AX63" s="11">
        <v>3.41200195E9</v>
      </c>
      <c r="AY63" s="11" t="s">
        <v>644</v>
      </c>
      <c r="AZ63" s="24">
        <v>41901.0</v>
      </c>
      <c r="BA63" s="11" t="s">
        <v>651</v>
      </c>
      <c r="BB63" s="11" t="s">
        <v>101</v>
      </c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</row>
    <row r="64" ht="19.5" customHeight="1">
      <c r="A64" s="10" t="b">
        <v>0</v>
      </c>
      <c r="B64" s="11"/>
      <c r="C64" s="13" t="s">
        <v>60</v>
      </c>
      <c r="D64" s="14" t="s">
        <v>60</v>
      </c>
      <c r="E64" s="11"/>
      <c r="F64" s="15" t="s">
        <v>4</v>
      </c>
      <c r="G64" s="16">
        <v>271.0</v>
      </c>
      <c r="H64" s="16"/>
      <c r="I64" s="16">
        <v>46994.0</v>
      </c>
      <c r="J64" s="11" t="s">
        <v>61</v>
      </c>
      <c r="K64" s="11" t="s">
        <v>62</v>
      </c>
      <c r="L64" s="18">
        <v>46285.92712962963</v>
      </c>
      <c r="M64" s="18">
        <v>46285.9271875</v>
      </c>
      <c r="N64" s="11" t="s">
        <v>63</v>
      </c>
      <c r="O64" s="11">
        <v>0.0</v>
      </c>
      <c r="P64" s="11" t="s">
        <v>652</v>
      </c>
      <c r="Q64" s="11" t="s">
        <v>653</v>
      </c>
      <c r="R64" s="11"/>
      <c r="S64" s="11" t="s">
        <v>654</v>
      </c>
      <c r="T64" s="11"/>
      <c r="U64" s="11" t="s">
        <v>235</v>
      </c>
      <c r="V64" s="11" t="s">
        <v>68</v>
      </c>
      <c r="W64" s="11">
        <v>1646.0</v>
      </c>
      <c r="X64" s="11" t="s">
        <v>69</v>
      </c>
      <c r="Y64" s="11" t="s">
        <v>655</v>
      </c>
      <c r="Z64" s="11">
        <v>1.558244399E9</v>
      </c>
      <c r="AA64" s="11" t="s">
        <v>71</v>
      </c>
      <c r="AB64" s="11"/>
      <c r="AC64" s="11"/>
      <c r="AD64" s="18">
        <v>46285.9271875</v>
      </c>
      <c r="AE64" s="11" t="s">
        <v>656</v>
      </c>
      <c r="AF64" s="11" t="s">
        <v>657</v>
      </c>
      <c r="AG64" s="18">
        <v>46286.05212962963</v>
      </c>
      <c r="AH64" s="18">
        <v>46286.0521875</v>
      </c>
      <c r="AI64" s="11"/>
      <c r="AJ64" s="18">
        <v>46286.0521875</v>
      </c>
      <c r="AK64" s="11">
        <v>18234.0</v>
      </c>
      <c r="AL64" s="21" t="s">
        <v>75</v>
      </c>
      <c r="AM64" s="16"/>
      <c r="AN64" s="14" t="s">
        <v>39</v>
      </c>
      <c r="AO64" s="23" t="s">
        <v>658</v>
      </c>
      <c r="AP64" s="16" t="s">
        <v>76</v>
      </c>
      <c r="AQ64" s="16">
        <v>3557.0</v>
      </c>
      <c r="AR64" s="16"/>
      <c r="AS64" s="11" t="s">
        <v>612</v>
      </c>
      <c r="AT64" s="11" t="s">
        <v>241</v>
      </c>
      <c r="AU64" s="11" t="s">
        <v>653</v>
      </c>
      <c r="AV64" s="11">
        <v>5.3305995E7</v>
      </c>
      <c r="AW64" s="11" t="s">
        <v>79</v>
      </c>
      <c r="AX64" s="11">
        <v>1.558244399E9</v>
      </c>
      <c r="AY64" s="11" t="s">
        <v>655</v>
      </c>
      <c r="AZ64" s="24">
        <v>41501.0</v>
      </c>
      <c r="BA64" s="11" t="s">
        <v>659</v>
      </c>
      <c r="BB64" s="11" t="s">
        <v>81</v>
      </c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</row>
    <row r="65" ht="19.5" customHeight="1">
      <c r="A65" s="10" t="b">
        <v>0</v>
      </c>
      <c r="B65" s="11"/>
      <c r="C65" s="13" t="s">
        <v>60</v>
      </c>
      <c r="D65" s="14" t="s">
        <v>60</v>
      </c>
      <c r="E65" s="11"/>
      <c r="F65" s="15" t="s">
        <v>4</v>
      </c>
      <c r="G65" s="16">
        <v>277.0</v>
      </c>
      <c r="H65" s="16"/>
      <c r="I65" s="16">
        <v>47000.0</v>
      </c>
      <c r="J65" s="11" t="s">
        <v>61</v>
      </c>
      <c r="K65" s="11" t="s">
        <v>62</v>
      </c>
      <c r="L65" s="18">
        <v>46286.0549537037</v>
      </c>
      <c r="M65" s="18">
        <v>46286.055</v>
      </c>
      <c r="N65" s="11" t="s">
        <v>63</v>
      </c>
      <c r="O65" s="11">
        <v>0.0</v>
      </c>
      <c r="P65" s="11" t="s">
        <v>660</v>
      </c>
      <c r="Q65" s="11" t="s">
        <v>661</v>
      </c>
      <c r="R65" s="11"/>
      <c r="S65" s="11" t="s">
        <v>662</v>
      </c>
      <c r="T65" s="11"/>
      <c r="U65" s="11" t="s">
        <v>663</v>
      </c>
      <c r="V65" s="11" t="s">
        <v>68</v>
      </c>
      <c r="W65" s="11">
        <v>1640.0</v>
      </c>
      <c r="X65" s="11" t="s">
        <v>69</v>
      </c>
      <c r="Y65" s="11" t="s">
        <v>664</v>
      </c>
      <c r="Z65" s="11">
        <v>5.450358744E9</v>
      </c>
      <c r="AA65" s="11" t="s">
        <v>71</v>
      </c>
      <c r="AB65" s="11"/>
      <c r="AC65" s="11"/>
      <c r="AD65" s="18">
        <v>46286.055</v>
      </c>
      <c r="AE65" s="11" t="s">
        <v>665</v>
      </c>
      <c r="AF65" s="11" t="s">
        <v>666</v>
      </c>
      <c r="AG65" s="18">
        <v>46286.1799537037</v>
      </c>
      <c r="AH65" s="18">
        <v>46286.18</v>
      </c>
      <c r="AI65" s="11"/>
      <c r="AJ65" s="18">
        <v>46286.18</v>
      </c>
      <c r="AK65" s="11">
        <v>18234.0</v>
      </c>
      <c r="AL65" s="21" t="s">
        <v>75</v>
      </c>
      <c r="AM65" s="16"/>
      <c r="AN65" s="16"/>
      <c r="AO65" s="23" t="s">
        <v>667</v>
      </c>
      <c r="AP65" s="16" t="s">
        <v>76</v>
      </c>
      <c r="AQ65" s="16">
        <v>4199.0</v>
      </c>
      <c r="AR65" s="16"/>
      <c r="AS65" s="11" t="s">
        <v>668</v>
      </c>
      <c r="AT65" s="11" t="s">
        <v>134</v>
      </c>
      <c r="AU65" s="11" t="s">
        <v>661</v>
      </c>
      <c r="AV65" s="11">
        <v>5.5478329E7</v>
      </c>
      <c r="AW65" s="11" t="s">
        <v>99</v>
      </c>
      <c r="AX65" s="11">
        <v>5.0358744E7</v>
      </c>
      <c r="AY65" s="11" t="s">
        <v>669</v>
      </c>
      <c r="AZ65" s="24">
        <v>42416.0</v>
      </c>
      <c r="BA65" s="11" t="s">
        <v>100</v>
      </c>
      <c r="BB65" s="11" t="s">
        <v>101</v>
      </c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</row>
    <row r="66" ht="19.5" customHeight="1">
      <c r="A66" s="10" t="b">
        <v>0</v>
      </c>
      <c r="B66" s="11"/>
      <c r="C66" s="13" t="s">
        <v>59</v>
      </c>
      <c r="D66" s="14" t="s">
        <v>60</v>
      </c>
      <c r="E66" s="11"/>
      <c r="F66" s="15" t="s">
        <v>4</v>
      </c>
      <c r="G66" s="16">
        <v>279.0</v>
      </c>
      <c r="H66" s="16"/>
      <c r="I66" s="16">
        <v>47002.0</v>
      </c>
      <c r="J66" s="11" t="s">
        <v>61</v>
      </c>
      <c r="K66" s="11" t="s">
        <v>62</v>
      </c>
      <c r="L66" s="18">
        <v>46286.139375</v>
      </c>
      <c r="M66" s="18">
        <v>46286.139386574076</v>
      </c>
      <c r="N66" s="11" t="s">
        <v>63</v>
      </c>
      <c r="O66" s="11">
        <v>0.0</v>
      </c>
      <c r="P66" s="11" t="s">
        <v>670</v>
      </c>
      <c r="Q66" s="11" t="s">
        <v>671</v>
      </c>
      <c r="R66" s="11"/>
      <c r="S66" s="11" t="s">
        <v>672</v>
      </c>
      <c r="T66" s="11"/>
      <c r="U66" s="11" t="s">
        <v>276</v>
      </c>
      <c r="V66" s="11" t="s">
        <v>126</v>
      </c>
      <c r="W66" s="11">
        <v>1425.0</v>
      </c>
      <c r="X66" s="11" t="s">
        <v>69</v>
      </c>
      <c r="Y66" s="11" t="s">
        <v>673</v>
      </c>
      <c r="Z66" s="11">
        <v>1.158303299E9</v>
      </c>
      <c r="AA66" s="11" t="s">
        <v>645</v>
      </c>
      <c r="AB66" s="11"/>
      <c r="AC66" s="11"/>
      <c r="AD66" s="11"/>
      <c r="AE66" s="11" t="s">
        <v>674</v>
      </c>
      <c r="AF66" s="11" t="s">
        <v>675</v>
      </c>
      <c r="AG66" s="18">
        <v>46286.264375</v>
      </c>
      <c r="AH66" s="18">
        <v>46286.264386574076</v>
      </c>
      <c r="AI66" s="11"/>
      <c r="AJ66" s="11"/>
      <c r="AK66" s="11">
        <v>18234.0</v>
      </c>
      <c r="AL66" s="21" t="s">
        <v>75</v>
      </c>
      <c r="AM66" s="16"/>
      <c r="AN66" s="14" t="s">
        <v>39</v>
      </c>
      <c r="AO66" s="23"/>
      <c r="AP66" s="16" t="s">
        <v>76</v>
      </c>
      <c r="AQ66" s="14">
        <v>4239.0</v>
      </c>
      <c r="AR66" s="16"/>
      <c r="AS66" s="11" t="s">
        <v>197</v>
      </c>
      <c r="AT66" s="11" t="s">
        <v>676</v>
      </c>
      <c r="AU66" s="11" t="s">
        <v>677</v>
      </c>
      <c r="AV66" s="11">
        <v>5.4386513E7</v>
      </c>
      <c r="AW66" s="11" t="s">
        <v>79</v>
      </c>
      <c r="AX66" s="11">
        <v>1.158303299E9</v>
      </c>
      <c r="AY66" s="11" t="s">
        <v>673</v>
      </c>
      <c r="AZ66" s="41">
        <v>41963.0</v>
      </c>
      <c r="BA66" s="11" t="s">
        <v>80</v>
      </c>
      <c r="BB66" s="11" t="s">
        <v>81</v>
      </c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</row>
    <row r="67" ht="19.5" customHeight="1">
      <c r="A67" s="10" t="b">
        <v>0</v>
      </c>
      <c r="B67" s="11"/>
      <c r="C67" s="13" t="s">
        <v>60</v>
      </c>
      <c r="D67" s="14" t="s">
        <v>60</v>
      </c>
      <c r="E67" s="11"/>
      <c r="F67" s="15" t="s">
        <v>4</v>
      </c>
      <c r="G67" s="16">
        <v>281.0</v>
      </c>
      <c r="H67" s="16"/>
      <c r="I67" s="16">
        <v>47004.0</v>
      </c>
      <c r="J67" s="11" t="s">
        <v>61</v>
      </c>
      <c r="K67" s="11" t="s">
        <v>62</v>
      </c>
      <c r="L67" s="18">
        <v>46286.31413194445</v>
      </c>
      <c r="M67" s="18">
        <v>46286.31418981482</v>
      </c>
      <c r="N67" s="11" t="s">
        <v>63</v>
      </c>
      <c r="O67" s="11">
        <v>0.0</v>
      </c>
      <c r="P67" s="11" t="s">
        <v>678</v>
      </c>
      <c r="Q67" s="11" t="s">
        <v>679</v>
      </c>
      <c r="R67" s="11"/>
      <c r="S67" s="11" t="s">
        <v>680</v>
      </c>
      <c r="T67" s="11"/>
      <c r="U67" s="11" t="s">
        <v>681</v>
      </c>
      <c r="V67" s="11" t="s">
        <v>68</v>
      </c>
      <c r="W67" s="11">
        <v>1646.0</v>
      </c>
      <c r="X67" s="11" t="s">
        <v>69</v>
      </c>
      <c r="Y67" s="11" t="s">
        <v>682</v>
      </c>
      <c r="Z67" s="11">
        <v>1.168563686E9</v>
      </c>
      <c r="AA67" s="11" t="s">
        <v>71</v>
      </c>
      <c r="AB67" s="11"/>
      <c r="AC67" s="11"/>
      <c r="AD67" s="11"/>
      <c r="AE67" s="11" t="s">
        <v>683</v>
      </c>
      <c r="AF67" s="11" t="s">
        <v>684</v>
      </c>
      <c r="AG67" s="18">
        <v>46286.43913194445</v>
      </c>
      <c r="AH67" s="18">
        <v>46286.43918981482</v>
      </c>
      <c r="AI67" s="11"/>
      <c r="AJ67" s="11"/>
      <c r="AK67" s="11">
        <v>18234.0</v>
      </c>
      <c r="AL67" s="21" t="s">
        <v>75</v>
      </c>
      <c r="AM67" s="16"/>
      <c r="AN67" s="14" t="s">
        <v>39</v>
      </c>
      <c r="AO67" s="23" t="s">
        <v>685</v>
      </c>
      <c r="AP67" s="16" t="s">
        <v>76</v>
      </c>
      <c r="AQ67" s="16">
        <v>3420.0</v>
      </c>
      <c r="AR67" s="16"/>
      <c r="AS67" s="10" t="s">
        <v>668</v>
      </c>
      <c r="AT67" s="11" t="s">
        <v>686</v>
      </c>
      <c r="AU67" s="11" t="s">
        <v>687</v>
      </c>
      <c r="AV67" s="11">
        <v>5.3472189E7</v>
      </c>
      <c r="AW67" s="11" t="s">
        <v>79</v>
      </c>
      <c r="AX67" s="11">
        <v>1.168563686E9</v>
      </c>
      <c r="AY67" s="11" t="s">
        <v>682</v>
      </c>
      <c r="AZ67" s="24">
        <v>41550.0</v>
      </c>
      <c r="BA67" s="11" t="s">
        <v>688</v>
      </c>
      <c r="BB67" s="11" t="s">
        <v>101</v>
      </c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</row>
    <row r="68" ht="19.5" customHeight="1">
      <c r="A68" s="10" t="b">
        <v>0</v>
      </c>
      <c r="B68" s="11"/>
      <c r="C68" s="13" t="s">
        <v>60</v>
      </c>
      <c r="D68" s="14" t="s">
        <v>60</v>
      </c>
      <c r="E68" s="11"/>
      <c r="F68" s="15" t="s">
        <v>4</v>
      </c>
      <c r="G68" s="16">
        <v>283.0</v>
      </c>
      <c r="H68" s="16"/>
      <c r="I68" s="16">
        <v>47006.0</v>
      </c>
      <c r="J68" s="11" t="s">
        <v>302</v>
      </c>
      <c r="K68" s="11" t="s">
        <v>62</v>
      </c>
      <c r="L68" s="18">
        <v>46286.36835648148</v>
      </c>
      <c r="M68" s="18">
        <v>46286.368425925924</v>
      </c>
      <c r="N68" s="11" t="s">
        <v>63</v>
      </c>
      <c r="O68" s="11">
        <v>0.0</v>
      </c>
      <c r="P68" s="11" t="s">
        <v>689</v>
      </c>
      <c r="Q68" s="11" t="s">
        <v>690</v>
      </c>
      <c r="R68" s="11"/>
      <c r="S68" s="11" t="s">
        <v>691</v>
      </c>
      <c r="T68" s="11">
        <v>1.0</v>
      </c>
      <c r="U68" s="11" t="s">
        <v>692</v>
      </c>
      <c r="V68" s="11" t="s">
        <v>68</v>
      </c>
      <c r="W68" s="11">
        <v>1900.0</v>
      </c>
      <c r="X68" s="11" t="s">
        <v>69</v>
      </c>
      <c r="Y68" s="11" t="s">
        <v>693</v>
      </c>
      <c r="Z68" s="11">
        <v>5.42215442424E11</v>
      </c>
      <c r="AA68" s="11" t="s">
        <v>71</v>
      </c>
      <c r="AB68" s="11"/>
      <c r="AC68" s="11"/>
      <c r="AD68" s="11"/>
      <c r="AE68" s="11" t="s">
        <v>694</v>
      </c>
      <c r="AF68" s="11" t="s">
        <v>695</v>
      </c>
      <c r="AG68" s="18">
        <v>46286.49335648148</v>
      </c>
      <c r="AH68" s="18">
        <v>46286.493425925924</v>
      </c>
      <c r="AI68" s="11"/>
      <c r="AJ68" s="11"/>
      <c r="AK68" s="11">
        <v>18234.0</v>
      </c>
      <c r="AL68" s="21" t="s">
        <v>75</v>
      </c>
      <c r="AM68" s="16"/>
      <c r="AN68" s="16"/>
      <c r="AO68" s="23" t="s">
        <v>696</v>
      </c>
      <c r="AP68" s="16" t="s">
        <v>76</v>
      </c>
      <c r="AQ68" s="16">
        <v>3350.0</v>
      </c>
      <c r="AR68" s="16"/>
      <c r="AS68" s="11" t="s">
        <v>433</v>
      </c>
      <c r="AT68" s="11" t="s">
        <v>697</v>
      </c>
      <c r="AU68" s="11" t="s">
        <v>689</v>
      </c>
      <c r="AV68" s="11">
        <v>5.5180048E7</v>
      </c>
      <c r="AW68" s="11" t="s">
        <v>99</v>
      </c>
      <c r="AX68" s="11">
        <v>2.215442424E9</v>
      </c>
      <c r="AY68" s="11" t="s">
        <v>698</v>
      </c>
      <c r="AZ68" s="24">
        <v>42306.0</v>
      </c>
      <c r="BA68" s="11" t="s">
        <v>699</v>
      </c>
      <c r="BB68" s="11" t="s">
        <v>101</v>
      </c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</row>
    <row r="69" ht="19.5" customHeight="1">
      <c r="A69" s="10" t="b">
        <v>0</v>
      </c>
      <c r="B69" s="11"/>
      <c r="C69" s="13" t="s">
        <v>60</v>
      </c>
      <c r="D69" s="14" t="s">
        <v>60</v>
      </c>
      <c r="E69" s="11"/>
      <c r="F69" s="15" t="s">
        <v>4</v>
      </c>
      <c r="G69" s="16">
        <v>285.0</v>
      </c>
      <c r="H69" s="16"/>
      <c r="I69" s="16">
        <v>47008.0</v>
      </c>
      <c r="J69" s="11" t="s">
        <v>61</v>
      </c>
      <c r="K69" s="11" t="s">
        <v>62</v>
      </c>
      <c r="L69" s="18">
        <v>46286.37501157408</v>
      </c>
      <c r="M69" s="18">
        <v>46286.375023148146</v>
      </c>
      <c r="N69" s="11" t="s">
        <v>63</v>
      </c>
      <c r="O69" s="11">
        <v>0.0</v>
      </c>
      <c r="P69" s="11" t="s">
        <v>700</v>
      </c>
      <c r="Q69" s="11" t="s">
        <v>701</v>
      </c>
      <c r="R69" s="11"/>
      <c r="S69" s="11" t="s">
        <v>702</v>
      </c>
      <c r="T69" s="11"/>
      <c r="U69" s="11" t="s">
        <v>234</v>
      </c>
      <c r="V69" s="11" t="s">
        <v>68</v>
      </c>
      <c r="W69" s="11">
        <v>1644.0</v>
      </c>
      <c r="X69" s="11" t="s">
        <v>69</v>
      </c>
      <c r="Y69" s="11" t="s">
        <v>703</v>
      </c>
      <c r="Z69" s="11">
        <v>1.153073821E9</v>
      </c>
      <c r="AA69" s="11" t="s">
        <v>645</v>
      </c>
      <c r="AB69" s="11"/>
      <c r="AC69" s="11"/>
      <c r="AD69" s="11"/>
      <c r="AE69" s="11" t="s">
        <v>704</v>
      </c>
      <c r="AF69" s="11" t="s">
        <v>705</v>
      </c>
      <c r="AG69" s="18">
        <v>46286.50001157408</v>
      </c>
      <c r="AH69" s="18">
        <v>46286.500023148146</v>
      </c>
      <c r="AI69" s="11"/>
      <c r="AJ69" s="11"/>
      <c r="AK69" s="11">
        <v>18234.0</v>
      </c>
      <c r="AL69" s="21" t="s">
        <v>75</v>
      </c>
      <c r="AM69" s="16"/>
      <c r="AN69" s="14" t="s">
        <v>39</v>
      </c>
      <c r="AO69" s="23"/>
      <c r="AP69" s="16" t="s">
        <v>76</v>
      </c>
      <c r="AQ69" s="16">
        <v>3111.0</v>
      </c>
      <c r="AR69" s="16"/>
      <c r="AS69" s="11" t="s">
        <v>298</v>
      </c>
      <c r="AT69" s="11" t="s">
        <v>706</v>
      </c>
      <c r="AU69" s="11" t="s">
        <v>707</v>
      </c>
      <c r="AV69" s="11">
        <v>5.3742144E7</v>
      </c>
      <c r="AW69" s="11" t="s">
        <v>79</v>
      </c>
      <c r="AX69" s="11">
        <v>1.153073821E9</v>
      </c>
      <c r="AY69" s="11" t="s">
        <v>703</v>
      </c>
      <c r="AZ69" s="24">
        <v>41789.0</v>
      </c>
      <c r="BA69" s="11" t="s">
        <v>708</v>
      </c>
      <c r="BB69" s="11" t="s">
        <v>81</v>
      </c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</row>
    <row r="70" ht="19.5" customHeight="1">
      <c r="A70" s="10" t="b">
        <v>0</v>
      </c>
      <c r="B70" s="11"/>
      <c r="C70" s="13" t="s">
        <v>60</v>
      </c>
      <c r="D70" s="14" t="s">
        <v>60</v>
      </c>
      <c r="E70" s="11"/>
      <c r="F70" s="15" t="s">
        <v>4</v>
      </c>
      <c r="G70" s="16">
        <v>291.0</v>
      </c>
      <c r="H70" s="16"/>
      <c r="I70" s="16">
        <v>47014.0</v>
      </c>
      <c r="J70" s="11" t="s">
        <v>61</v>
      </c>
      <c r="K70" s="11" t="s">
        <v>62</v>
      </c>
      <c r="L70" s="18">
        <v>46286.40949074074</v>
      </c>
      <c r="M70" s="18">
        <v>46286.40949074074</v>
      </c>
      <c r="N70" s="11" t="s">
        <v>63</v>
      </c>
      <c r="O70" s="11">
        <v>0.0</v>
      </c>
      <c r="P70" s="11" t="s">
        <v>709</v>
      </c>
      <c r="Q70" s="11" t="s">
        <v>710</v>
      </c>
      <c r="R70" s="11"/>
      <c r="S70" s="11" t="s">
        <v>711</v>
      </c>
      <c r="T70" s="11">
        <v>1.0</v>
      </c>
      <c r="U70" s="11" t="s">
        <v>712</v>
      </c>
      <c r="V70" s="11" t="s">
        <v>68</v>
      </c>
      <c r="W70" s="11">
        <v>1879.0</v>
      </c>
      <c r="X70" s="11" t="s">
        <v>69</v>
      </c>
      <c r="Y70" s="11" t="s">
        <v>713</v>
      </c>
      <c r="Z70" s="11">
        <v>5.41162586696E11</v>
      </c>
      <c r="AA70" s="11" t="s">
        <v>645</v>
      </c>
      <c r="AB70" s="11"/>
      <c r="AC70" s="11"/>
      <c r="AD70" s="11"/>
      <c r="AE70" s="11" t="s">
        <v>714</v>
      </c>
      <c r="AF70" s="11" t="s">
        <v>715</v>
      </c>
      <c r="AG70" s="18">
        <v>46286.53449074074</v>
      </c>
      <c r="AH70" s="18">
        <v>46286.53449074074</v>
      </c>
      <c r="AI70" s="11"/>
      <c r="AJ70" s="11"/>
      <c r="AK70" s="11">
        <v>18234.0</v>
      </c>
      <c r="AL70" s="21" t="s">
        <v>75</v>
      </c>
      <c r="AM70" s="16"/>
      <c r="AN70" s="16"/>
      <c r="AO70" s="23" t="s">
        <v>716</v>
      </c>
      <c r="AP70" s="16" t="s">
        <v>76</v>
      </c>
      <c r="AQ70" s="16">
        <v>3910.0</v>
      </c>
      <c r="AR70" s="16"/>
      <c r="AS70" s="11" t="s">
        <v>480</v>
      </c>
      <c r="AT70" s="11" t="s">
        <v>717</v>
      </c>
      <c r="AU70" s="11" t="s">
        <v>718</v>
      </c>
      <c r="AV70" s="11">
        <v>5.5989337E7</v>
      </c>
      <c r="AW70" s="11" t="s">
        <v>99</v>
      </c>
      <c r="AX70" s="11">
        <v>1.150176893E9</v>
      </c>
      <c r="AY70" s="11" t="s">
        <v>713</v>
      </c>
      <c r="AZ70" s="41">
        <v>42695.0</v>
      </c>
      <c r="BA70" s="11" t="s">
        <v>144</v>
      </c>
      <c r="BB70" s="11" t="s">
        <v>101</v>
      </c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</row>
    <row r="71" ht="19.5" customHeight="1">
      <c r="A71" s="10" t="b">
        <v>0</v>
      </c>
      <c r="B71" s="11"/>
      <c r="C71" s="13" t="s">
        <v>60</v>
      </c>
      <c r="D71" s="14" t="s">
        <v>60</v>
      </c>
      <c r="E71" s="11"/>
      <c r="F71" s="15" t="s">
        <v>4</v>
      </c>
      <c r="G71" s="16">
        <v>294.0</v>
      </c>
      <c r="H71" s="16"/>
      <c r="I71" s="16">
        <v>47017.0</v>
      </c>
      <c r="J71" s="11" t="s">
        <v>61</v>
      </c>
      <c r="K71" s="11" t="s">
        <v>62</v>
      </c>
      <c r="L71" s="18">
        <v>46286.41916666667</v>
      </c>
      <c r="M71" s="18">
        <v>46286.41921296297</v>
      </c>
      <c r="N71" s="11" t="s">
        <v>63</v>
      </c>
      <c r="O71" s="11">
        <v>0.0</v>
      </c>
      <c r="P71" s="11" t="s">
        <v>719</v>
      </c>
      <c r="Q71" s="11" t="s">
        <v>720</v>
      </c>
      <c r="R71" s="11"/>
      <c r="S71" s="11" t="s">
        <v>721</v>
      </c>
      <c r="T71" s="11"/>
      <c r="U71" s="11" t="s">
        <v>580</v>
      </c>
      <c r="V71" s="11" t="s">
        <v>68</v>
      </c>
      <c r="W71" s="11">
        <v>1641.0</v>
      </c>
      <c r="X71" s="11" t="s">
        <v>69</v>
      </c>
      <c r="Y71" s="11" t="s">
        <v>722</v>
      </c>
      <c r="Z71" s="11">
        <v>1.161765025E9</v>
      </c>
      <c r="AA71" s="11" t="s">
        <v>71</v>
      </c>
      <c r="AB71" s="11"/>
      <c r="AC71" s="11"/>
      <c r="AD71" s="18">
        <v>46286.41921296297</v>
      </c>
      <c r="AE71" s="11" t="s">
        <v>723</v>
      </c>
      <c r="AF71" s="11" t="s">
        <v>724</v>
      </c>
      <c r="AG71" s="18">
        <v>46286.54416666667</v>
      </c>
      <c r="AH71" s="18">
        <v>46286.54421296297</v>
      </c>
      <c r="AI71" s="11"/>
      <c r="AJ71" s="18">
        <v>46286.54421296297</v>
      </c>
      <c r="AK71" s="11">
        <v>18234.0</v>
      </c>
      <c r="AL71" s="21" t="s">
        <v>75</v>
      </c>
      <c r="AM71" s="16"/>
      <c r="AN71" s="14" t="s">
        <v>39</v>
      </c>
      <c r="AO71" s="23"/>
      <c r="AP71" s="16" t="s">
        <v>76</v>
      </c>
      <c r="AQ71" s="16">
        <v>4256.0</v>
      </c>
      <c r="AR71" s="16"/>
      <c r="AS71" s="11" t="s">
        <v>97</v>
      </c>
      <c r="AT71" s="11" t="s">
        <v>725</v>
      </c>
      <c r="AU71" s="11" t="s">
        <v>726</v>
      </c>
      <c r="AV71" s="11">
        <v>5.3718044E7</v>
      </c>
      <c r="AW71" s="11" t="s">
        <v>79</v>
      </c>
      <c r="AX71" s="11">
        <v>1.161765025E9</v>
      </c>
      <c r="AY71" s="11" t="s">
        <v>722</v>
      </c>
      <c r="AZ71" s="24">
        <v>41678.0</v>
      </c>
      <c r="BA71" s="11" t="s">
        <v>640</v>
      </c>
      <c r="BB71" s="11" t="s">
        <v>101</v>
      </c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</row>
    <row r="72" ht="19.5" customHeight="1">
      <c r="A72" s="10" t="b">
        <v>0</v>
      </c>
      <c r="B72" s="11"/>
      <c r="C72" s="13" t="s">
        <v>59</v>
      </c>
      <c r="D72" s="14" t="s">
        <v>60</v>
      </c>
      <c r="E72" s="11"/>
      <c r="F72" s="15" t="s">
        <v>4</v>
      </c>
      <c r="G72" s="16">
        <v>295.0</v>
      </c>
      <c r="H72" s="16"/>
      <c r="I72" s="16">
        <v>47018.0</v>
      </c>
      <c r="J72" s="11" t="s">
        <v>61</v>
      </c>
      <c r="K72" s="11" t="s">
        <v>62</v>
      </c>
      <c r="L72" s="18">
        <v>46286.42982638889</v>
      </c>
      <c r="M72" s="18">
        <v>46286.42982638889</v>
      </c>
      <c r="N72" s="11" t="s">
        <v>63</v>
      </c>
      <c r="O72" s="11">
        <v>0.0</v>
      </c>
      <c r="P72" s="11" t="s">
        <v>727</v>
      </c>
      <c r="Q72" s="11" t="s">
        <v>728</v>
      </c>
      <c r="R72" s="11"/>
      <c r="S72" s="11" t="s">
        <v>729</v>
      </c>
      <c r="T72" s="11">
        <v>79.0</v>
      </c>
      <c r="U72" s="11" t="s">
        <v>730</v>
      </c>
      <c r="V72" s="11" t="s">
        <v>68</v>
      </c>
      <c r="W72" s="11">
        <v>1714.0</v>
      </c>
      <c r="X72" s="11" t="s">
        <v>69</v>
      </c>
      <c r="Y72" s="11" t="s">
        <v>731</v>
      </c>
      <c r="Z72" s="11">
        <v>5.491136476127E12</v>
      </c>
      <c r="AA72" s="11" t="s">
        <v>645</v>
      </c>
      <c r="AB72" s="11"/>
      <c r="AC72" s="11"/>
      <c r="AD72" s="11"/>
      <c r="AE72" s="11" t="s">
        <v>732</v>
      </c>
      <c r="AF72" s="11" t="s">
        <v>733</v>
      </c>
      <c r="AG72" s="18">
        <v>46286.55482638889</v>
      </c>
      <c r="AH72" s="18">
        <v>46286.55482638889</v>
      </c>
      <c r="AI72" s="11"/>
      <c r="AJ72" s="11"/>
      <c r="AK72" s="11">
        <v>18234.0</v>
      </c>
      <c r="AL72" s="21" t="s">
        <v>75</v>
      </c>
      <c r="AM72" s="16"/>
      <c r="AN72" s="14" t="s">
        <v>39</v>
      </c>
      <c r="AO72" s="23" t="s">
        <v>734</v>
      </c>
      <c r="AP72" s="16" t="s">
        <v>76</v>
      </c>
      <c r="AQ72" s="16">
        <v>313.0</v>
      </c>
      <c r="AR72" s="16"/>
      <c r="AS72" s="11" t="s">
        <v>735</v>
      </c>
      <c r="AT72" s="11" t="s">
        <v>736</v>
      </c>
      <c r="AU72" s="11" t="s">
        <v>737</v>
      </c>
      <c r="AV72" s="11">
        <v>5.4676731E7</v>
      </c>
      <c r="AW72" s="11" t="s">
        <v>79</v>
      </c>
      <c r="AX72" s="11">
        <v>5.491136476127E12</v>
      </c>
      <c r="AY72" s="11" t="s">
        <v>731</v>
      </c>
      <c r="AZ72" s="30">
        <v>42054.0</v>
      </c>
      <c r="BA72" s="11" t="s">
        <v>738</v>
      </c>
      <c r="BB72" s="11" t="s">
        <v>81</v>
      </c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</row>
    <row r="73" ht="19.5" customHeight="1">
      <c r="A73" s="10" t="b">
        <v>0</v>
      </c>
      <c r="B73" s="11"/>
      <c r="C73" s="13" t="s">
        <v>59</v>
      </c>
      <c r="D73" s="14" t="s">
        <v>60</v>
      </c>
      <c r="E73" s="11"/>
      <c r="F73" s="15" t="s">
        <v>4</v>
      </c>
      <c r="G73" s="16">
        <v>296.0</v>
      </c>
      <c r="H73" s="16"/>
      <c r="I73" s="16">
        <v>47019.0</v>
      </c>
      <c r="J73" s="11" t="s">
        <v>61</v>
      </c>
      <c r="K73" s="11" t="s">
        <v>62</v>
      </c>
      <c r="L73" s="18">
        <v>46286.431655092594</v>
      </c>
      <c r="M73" s="18">
        <v>46286.431666666664</v>
      </c>
      <c r="N73" s="11" t="s">
        <v>63</v>
      </c>
      <c r="O73" s="11">
        <v>0.0</v>
      </c>
      <c r="P73" s="11" t="s">
        <v>727</v>
      </c>
      <c r="Q73" s="11" t="s">
        <v>728</v>
      </c>
      <c r="R73" s="11"/>
      <c r="S73" s="11" t="s">
        <v>729</v>
      </c>
      <c r="T73" s="11">
        <v>79.0</v>
      </c>
      <c r="U73" s="11" t="s">
        <v>730</v>
      </c>
      <c r="V73" s="11" t="s">
        <v>68</v>
      </c>
      <c r="W73" s="11">
        <v>1714.0</v>
      </c>
      <c r="X73" s="11" t="s">
        <v>69</v>
      </c>
      <c r="Y73" s="11" t="s">
        <v>731</v>
      </c>
      <c r="Z73" s="11">
        <v>5.491136476127E12</v>
      </c>
      <c r="AA73" s="11" t="s">
        <v>645</v>
      </c>
      <c r="AB73" s="11"/>
      <c r="AC73" s="11"/>
      <c r="AD73" s="11"/>
      <c r="AE73" s="11" t="s">
        <v>739</v>
      </c>
      <c r="AF73" s="11" t="s">
        <v>740</v>
      </c>
      <c r="AG73" s="18">
        <v>46286.556655092594</v>
      </c>
      <c r="AH73" s="18">
        <v>46286.556666666664</v>
      </c>
      <c r="AI73" s="11"/>
      <c r="AJ73" s="11"/>
      <c r="AK73" s="11">
        <v>18234.0</v>
      </c>
      <c r="AL73" s="21" t="s">
        <v>75</v>
      </c>
      <c r="AM73" s="16"/>
      <c r="AN73" s="16"/>
      <c r="AO73" s="23" t="s">
        <v>734</v>
      </c>
      <c r="AP73" s="16" t="s">
        <v>76</v>
      </c>
      <c r="AQ73" s="16">
        <v>3287.0</v>
      </c>
      <c r="AR73" s="16"/>
      <c r="AS73" s="11" t="s">
        <v>735</v>
      </c>
      <c r="AT73" s="11" t="s">
        <v>741</v>
      </c>
      <c r="AU73" s="11" t="s">
        <v>742</v>
      </c>
      <c r="AV73" s="11">
        <v>5.3747782E7</v>
      </c>
      <c r="AW73" s="11" t="s">
        <v>99</v>
      </c>
      <c r="AX73" s="11">
        <v>5.491136476127E12</v>
      </c>
      <c r="AY73" s="11" t="s">
        <v>731</v>
      </c>
      <c r="AZ73" s="30">
        <v>41649.0</v>
      </c>
      <c r="BA73" s="11" t="s">
        <v>738</v>
      </c>
      <c r="BB73" s="11" t="s">
        <v>81</v>
      </c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</row>
    <row r="74" ht="19.5" customHeight="1">
      <c r="A74" s="10" t="b">
        <v>0</v>
      </c>
      <c r="B74" s="11"/>
      <c r="C74" s="13" t="s">
        <v>60</v>
      </c>
      <c r="D74" s="14" t="s">
        <v>60</v>
      </c>
      <c r="E74" s="11"/>
      <c r="F74" s="15" t="s">
        <v>4</v>
      </c>
      <c r="G74" s="16">
        <v>306.0</v>
      </c>
      <c r="H74" s="16"/>
      <c r="I74" s="16">
        <v>47029.0</v>
      </c>
      <c r="J74" s="11" t="s">
        <v>402</v>
      </c>
      <c r="K74" s="11" t="s">
        <v>62</v>
      </c>
      <c r="L74" s="18">
        <v>46286.449641203704</v>
      </c>
      <c r="M74" s="18">
        <v>46286.449641203704</v>
      </c>
      <c r="N74" s="11" t="s">
        <v>63</v>
      </c>
      <c r="O74" s="11">
        <v>0.0</v>
      </c>
      <c r="P74" s="11" t="s">
        <v>743</v>
      </c>
      <c r="Q74" s="11" t="s">
        <v>744</v>
      </c>
      <c r="R74" s="11"/>
      <c r="S74" s="11" t="s">
        <v>745</v>
      </c>
      <c r="T74" s="11"/>
      <c r="U74" s="11" t="s">
        <v>276</v>
      </c>
      <c r="V74" s="11" t="s">
        <v>126</v>
      </c>
      <c r="W74" s="11">
        <v>1419.0</v>
      </c>
      <c r="X74" s="11" t="s">
        <v>69</v>
      </c>
      <c r="Y74" s="11" t="s">
        <v>746</v>
      </c>
      <c r="Z74" s="11">
        <v>5.41168827987E11</v>
      </c>
      <c r="AA74" s="11" t="s">
        <v>71</v>
      </c>
      <c r="AB74" s="11"/>
      <c r="AC74" s="11"/>
      <c r="AD74" s="11"/>
      <c r="AE74" s="11" t="s">
        <v>408</v>
      </c>
      <c r="AF74" s="11" t="s">
        <v>747</v>
      </c>
      <c r="AG74" s="18">
        <v>46286.574641203704</v>
      </c>
      <c r="AH74" s="18">
        <v>46286.574641203704</v>
      </c>
      <c r="AI74" s="11"/>
      <c r="AJ74" s="11"/>
      <c r="AK74" s="11">
        <v>18234.0</v>
      </c>
      <c r="AL74" s="21" t="s">
        <v>75</v>
      </c>
      <c r="AM74" s="16"/>
      <c r="AN74" s="16"/>
      <c r="AO74" s="23" t="s">
        <v>748</v>
      </c>
      <c r="AP74" s="16" t="s">
        <v>76</v>
      </c>
      <c r="AQ74" s="16">
        <v>4120.0</v>
      </c>
      <c r="AR74" s="16"/>
      <c r="AS74" s="11" t="s">
        <v>668</v>
      </c>
      <c r="AT74" s="11" t="s">
        <v>749</v>
      </c>
      <c r="AU74" s="11" t="s">
        <v>750</v>
      </c>
      <c r="AV74" s="11">
        <v>5.4182928E7</v>
      </c>
      <c r="AW74" s="11" t="s">
        <v>99</v>
      </c>
      <c r="AX74" s="11">
        <v>1.168827987E9</v>
      </c>
      <c r="AY74" s="11" t="s">
        <v>746</v>
      </c>
      <c r="AZ74" s="31">
        <v>41835.0</v>
      </c>
      <c r="BA74" s="11" t="s">
        <v>751</v>
      </c>
      <c r="BB74" s="11" t="s">
        <v>101</v>
      </c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</row>
    <row r="75" ht="19.5" customHeight="1">
      <c r="A75" s="10" t="b">
        <v>0</v>
      </c>
      <c r="B75" s="11"/>
      <c r="C75" s="13" t="s">
        <v>60</v>
      </c>
      <c r="D75" s="14" t="s">
        <v>60</v>
      </c>
      <c r="E75" s="11"/>
      <c r="F75" s="15" t="s">
        <v>4</v>
      </c>
      <c r="G75" s="16">
        <v>312.0</v>
      </c>
      <c r="H75" s="16"/>
      <c r="I75" s="16">
        <v>47035.0</v>
      </c>
      <c r="J75" s="11" t="s">
        <v>302</v>
      </c>
      <c r="K75" s="11" t="s">
        <v>62</v>
      </c>
      <c r="L75" s="18">
        <v>46286.4578125</v>
      </c>
      <c r="M75" s="18">
        <v>46286.45789351852</v>
      </c>
      <c r="N75" s="11" t="s">
        <v>63</v>
      </c>
      <c r="O75" s="11">
        <v>0.0</v>
      </c>
      <c r="P75" s="11" t="s">
        <v>752</v>
      </c>
      <c r="Q75" s="11" t="s">
        <v>753</v>
      </c>
      <c r="R75" s="11"/>
      <c r="S75" s="11" t="s">
        <v>754</v>
      </c>
      <c r="T75" s="11" t="s">
        <v>755</v>
      </c>
      <c r="U75" s="11" t="s">
        <v>756</v>
      </c>
      <c r="V75" s="11" t="s">
        <v>68</v>
      </c>
      <c r="W75" s="11">
        <v>1426.0</v>
      </c>
      <c r="X75" s="11" t="s">
        <v>69</v>
      </c>
      <c r="Y75" s="11" t="s">
        <v>757</v>
      </c>
      <c r="Z75" s="11">
        <v>5.4113041021E11</v>
      </c>
      <c r="AA75" s="11" t="s">
        <v>71</v>
      </c>
      <c r="AB75" s="11"/>
      <c r="AC75" s="11"/>
      <c r="AD75" s="11"/>
      <c r="AE75" s="11" t="s">
        <v>758</v>
      </c>
      <c r="AF75" s="11" t="s">
        <v>759</v>
      </c>
      <c r="AG75" s="18">
        <v>46286.5828125</v>
      </c>
      <c r="AH75" s="18">
        <v>46286.58289351852</v>
      </c>
      <c r="AI75" s="11"/>
      <c r="AJ75" s="11"/>
      <c r="AK75" s="11">
        <v>18234.0</v>
      </c>
      <c r="AL75" s="21" t="s">
        <v>75</v>
      </c>
      <c r="AM75" s="16"/>
      <c r="AN75" s="14" t="s">
        <v>39</v>
      </c>
      <c r="AO75" s="23" t="s">
        <v>760</v>
      </c>
      <c r="AP75" s="16" t="s">
        <v>76</v>
      </c>
      <c r="AQ75" s="16">
        <v>4229.0</v>
      </c>
      <c r="AR75" s="16"/>
      <c r="AS75" s="11" t="s">
        <v>612</v>
      </c>
      <c r="AT75" s="11" t="s">
        <v>761</v>
      </c>
      <c r="AU75" s="11" t="s">
        <v>762</v>
      </c>
      <c r="AV75" s="11">
        <v>5.4795131E7</v>
      </c>
      <c r="AW75" s="11" t="s">
        <v>79</v>
      </c>
      <c r="AX75" s="11">
        <v>1.13041021E9</v>
      </c>
      <c r="AY75" s="11" t="s">
        <v>757</v>
      </c>
      <c r="AZ75" s="24">
        <v>42151.0</v>
      </c>
      <c r="BA75" s="11" t="s">
        <v>763</v>
      </c>
      <c r="BB75" s="11" t="s">
        <v>81</v>
      </c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</row>
    <row r="76" ht="19.5" customHeight="1">
      <c r="A76" s="10" t="b">
        <v>0</v>
      </c>
      <c r="B76" s="11"/>
      <c r="C76" s="13" t="s">
        <v>59</v>
      </c>
      <c r="D76" s="14" t="s">
        <v>60</v>
      </c>
      <c r="E76" s="11"/>
      <c r="F76" s="15" t="s">
        <v>4</v>
      </c>
      <c r="G76" s="16">
        <v>313.0</v>
      </c>
      <c r="H76" s="16"/>
      <c r="I76" s="16">
        <v>47036.0</v>
      </c>
      <c r="J76" s="11" t="s">
        <v>61</v>
      </c>
      <c r="K76" s="11" t="s">
        <v>62</v>
      </c>
      <c r="L76" s="18">
        <v>46286.45894675926</v>
      </c>
      <c r="M76" s="18">
        <v>46286.4590625</v>
      </c>
      <c r="N76" s="11" t="s">
        <v>63</v>
      </c>
      <c r="O76" s="11">
        <v>0.0</v>
      </c>
      <c r="P76" s="11" t="s">
        <v>764</v>
      </c>
      <c r="Q76" s="11" t="s">
        <v>765</v>
      </c>
      <c r="R76" s="11"/>
      <c r="S76" s="11" t="s">
        <v>766</v>
      </c>
      <c r="T76" s="11">
        <v>1.0</v>
      </c>
      <c r="U76" s="11" t="s">
        <v>362</v>
      </c>
      <c r="V76" s="11" t="s">
        <v>126</v>
      </c>
      <c r="W76" s="11">
        <v>1016.0</v>
      </c>
      <c r="X76" s="11" t="s">
        <v>69</v>
      </c>
      <c r="Y76" s="11" t="s">
        <v>767</v>
      </c>
      <c r="Z76" s="11">
        <v>1.154035233E9</v>
      </c>
      <c r="AA76" s="11" t="s">
        <v>71</v>
      </c>
      <c r="AB76" s="11"/>
      <c r="AC76" s="11"/>
      <c r="AD76" s="18">
        <v>46286.4590625</v>
      </c>
      <c r="AE76" s="11" t="s">
        <v>768</v>
      </c>
      <c r="AF76" s="11" t="s">
        <v>769</v>
      </c>
      <c r="AG76" s="18">
        <v>46286.58394675926</v>
      </c>
      <c r="AH76" s="18">
        <v>46286.5840625</v>
      </c>
      <c r="AI76" s="11"/>
      <c r="AJ76" s="18">
        <v>46286.5840625</v>
      </c>
      <c r="AK76" s="11">
        <v>18234.0</v>
      </c>
      <c r="AL76" s="21" t="s">
        <v>75</v>
      </c>
      <c r="AM76" s="16"/>
      <c r="AN76" s="14" t="s">
        <v>39</v>
      </c>
      <c r="AO76" s="23" t="s">
        <v>770</v>
      </c>
      <c r="AP76" s="16" t="s">
        <v>76</v>
      </c>
      <c r="AQ76" s="16">
        <v>3995.0</v>
      </c>
      <c r="AR76" s="16"/>
      <c r="AS76" s="11" t="s">
        <v>97</v>
      </c>
      <c r="AT76" s="11" t="s">
        <v>198</v>
      </c>
      <c r="AU76" s="11" t="s">
        <v>771</v>
      </c>
      <c r="AV76" s="11">
        <v>5.4893778E7</v>
      </c>
      <c r="AW76" s="11" t="s">
        <v>79</v>
      </c>
      <c r="AX76" s="11">
        <v>1.154035233E9</v>
      </c>
      <c r="AY76" s="11" t="s">
        <v>767</v>
      </c>
      <c r="AZ76" s="24">
        <v>42171.0</v>
      </c>
      <c r="BA76" s="11" t="s">
        <v>144</v>
      </c>
      <c r="BB76" s="11" t="s">
        <v>101</v>
      </c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</row>
    <row r="77" ht="19.5" customHeight="1">
      <c r="A77" s="10" t="b">
        <v>0</v>
      </c>
      <c r="B77" s="11"/>
      <c r="C77" s="13" t="s">
        <v>60</v>
      </c>
      <c r="D77" s="14" t="s">
        <v>60</v>
      </c>
      <c r="E77" s="11"/>
      <c r="F77" s="15" t="s">
        <v>4</v>
      </c>
      <c r="G77" s="16">
        <v>320.0</v>
      </c>
      <c r="H77" s="16"/>
      <c r="I77" s="16">
        <v>47043.0</v>
      </c>
      <c r="J77" s="11" t="s">
        <v>61</v>
      </c>
      <c r="K77" s="11" t="s">
        <v>62</v>
      </c>
      <c r="L77" s="18">
        <v>46286.480671296296</v>
      </c>
      <c r="M77" s="18">
        <v>46286.48074074074</v>
      </c>
      <c r="N77" s="11" t="s">
        <v>63</v>
      </c>
      <c r="O77" s="11">
        <v>0.0</v>
      </c>
      <c r="P77" s="11" t="s">
        <v>772</v>
      </c>
      <c r="Q77" s="11" t="s">
        <v>773</v>
      </c>
      <c r="R77" s="11"/>
      <c r="S77" s="11" t="s">
        <v>774</v>
      </c>
      <c r="T77" s="11"/>
      <c r="U77" s="11" t="s">
        <v>775</v>
      </c>
      <c r="V77" s="11" t="s">
        <v>68</v>
      </c>
      <c r="W77" s="11" t="s">
        <v>776</v>
      </c>
      <c r="X77" s="11" t="s">
        <v>69</v>
      </c>
      <c r="Y77" s="11" t="s">
        <v>777</v>
      </c>
      <c r="Z77" s="11">
        <v>1.140279334E9</v>
      </c>
      <c r="AA77" s="11" t="s">
        <v>71</v>
      </c>
      <c r="AB77" s="11"/>
      <c r="AC77" s="11"/>
      <c r="AD77" s="11"/>
      <c r="AE77" s="11" t="s">
        <v>778</v>
      </c>
      <c r="AF77" s="11" t="s">
        <v>779</v>
      </c>
      <c r="AG77" s="18">
        <v>46286.605671296296</v>
      </c>
      <c r="AH77" s="18">
        <v>46286.60574074074</v>
      </c>
      <c r="AI77" s="11"/>
      <c r="AJ77" s="11"/>
      <c r="AK77" s="11">
        <v>18234.0</v>
      </c>
      <c r="AL77" s="21" t="s">
        <v>75</v>
      </c>
      <c r="AM77" s="16"/>
      <c r="AN77" s="14" t="s">
        <v>39</v>
      </c>
      <c r="AO77" s="23" t="s">
        <v>780</v>
      </c>
      <c r="AP77" s="16" t="s">
        <v>76</v>
      </c>
      <c r="AQ77" s="16">
        <v>3534.0</v>
      </c>
      <c r="AR77" s="16"/>
      <c r="AS77" s="11" t="s">
        <v>251</v>
      </c>
      <c r="AT77" s="11" t="s">
        <v>706</v>
      </c>
      <c r="AU77" s="11" t="s">
        <v>781</v>
      </c>
      <c r="AV77" s="11">
        <v>5.369523E7</v>
      </c>
      <c r="AW77" s="11" t="s">
        <v>79</v>
      </c>
      <c r="AX77" s="11">
        <v>1.140279334E9</v>
      </c>
      <c r="AY77" s="11" t="s">
        <v>777</v>
      </c>
      <c r="AZ77" s="24">
        <v>41667.0</v>
      </c>
      <c r="BA77" s="11" t="s">
        <v>144</v>
      </c>
      <c r="BB77" s="11" t="s">
        <v>81</v>
      </c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</row>
    <row r="78" ht="19.5" customHeight="1">
      <c r="A78" s="10" t="b">
        <v>0</v>
      </c>
      <c r="B78" s="11"/>
      <c r="C78" s="13" t="s">
        <v>60</v>
      </c>
      <c r="D78" s="14" t="s">
        <v>60</v>
      </c>
      <c r="E78" s="11"/>
      <c r="F78" s="15" t="s">
        <v>4</v>
      </c>
      <c r="G78" s="16">
        <v>322.0</v>
      </c>
      <c r="H78" s="16"/>
      <c r="I78" s="16">
        <v>47045.0</v>
      </c>
      <c r="J78" s="11" t="s">
        <v>61</v>
      </c>
      <c r="K78" s="11" t="s">
        <v>62</v>
      </c>
      <c r="L78" s="18">
        <v>46286.48829861111</v>
      </c>
      <c r="M78" s="18">
        <v>46286.48837962963</v>
      </c>
      <c r="N78" s="11" t="s">
        <v>63</v>
      </c>
      <c r="O78" s="11">
        <v>0.0</v>
      </c>
      <c r="P78" s="11" t="s">
        <v>145</v>
      </c>
      <c r="Q78" s="11" t="s">
        <v>782</v>
      </c>
      <c r="R78" s="11"/>
      <c r="S78" s="11" t="s">
        <v>783</v>
      </c>
      <c r="T78" s="11"/>
      <c r="U78" s="11" t="s">
        <v>134</v>
      </c>
      <c r="V78" s="11" t="s">
        <v>784</v>
      </c>
      <c r="W78" s="11">
        <v>7640522.0</v>
      </c>
      <c r="X78" s="11" t="s">
        <v>169</v>
      </c>
      <c r="Y78" s="11" t="s">
        <v>785</v>
      </c>
      <c r="Z78" s="11">
        <v>5.698527554E10</v>
      </c>
      <c r="AA78" s="11" t="s">
        <v>71</v>
      </c>
      <c r="AB78" s="11"/>
      <c r="AC78" s="11"/>
      <c r="AD78" s="18">
        <v>46286.48837962963</v>
      </c>
      <c r="AE78" s="11" t="s">
        <v>786</v>
      </c>
      <c r="AF78" s="11" t="s">
        <v>787</v>
      </c>
      <c r="AG78" s="18">
        <v>46286.61329861111</v>
      </c>
      <c r="AH78" s="18">
        <v>46286.61337962963</v>
      </c>
      <c r="AI78" s="11"/>
      <c r="AJ78" s="18">
        <v>46286.61337962963</v>
      </c>
      <c r="AK78" s="11">
        <v>18234.0</v>
      </c>
      <c r="AL78" s="21" t="s">
        <v>75</v>
      </c>
      <c r="AM78" s="16"/>
      <c r="AN78" s="14" t="s">
        <v>39</v>
      </c>
      <c r="AO78" s="23" t="s">
        <v>788</v>
      </c>
      <c r="AP78" s="16" t="s">
        <v>175</v>
      </c>
      <c r="AQ78" s="16">
        <v>300.0</v>
      </c>
      <c r="AR78" s="16"/>
      <c r="AS78" s="11" t="s">
        <v>789</v>
      </c>
      <c r="AT78" s="11" t="s">
        <v>790</v>
      </c>
      <c r="AU78" s="11" t="s">
        <v>791</v>
      </c>
      <c r="AV78" s="11">
        <v>2.53517298E8</v>
      </c>
      <c r="AW78" s="11" t="s">
        <v>79</v>
      </c>
      <c r="AX78" s="11">
        <v>5.698527554E10</v>
      </c>
      <c r="AY78" s="11" t="s">
        <v>785</v>
      </c>
      <c r="AZ78" s="24">
        <v>42474.0</v>
      </c>
      <c r="BA78" s="11" t="s">
        <v>792</v>
      </c>
      <c r="BB78" s="11" t="s">
        <v>81</v>
      </c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</row>
    <row r="79" ht="19.5" customHeight="1">
      <c r="A79" s="10" t="b">
        <v>0</v>
      </c>
      <c r="B79" s="11"/>
      <c r="C79" s="13" t="s">
        <v>60</v>
      </c>
      <c r="D79" s="14" t="s">
        <v>60</v>
      </c>
      <c r="E79" s="11"/>
      <c r="F79" s="15" t="s">
        <v>4</v>
      </c>
      <c r="G79" s="16">
        <v>338.0</v>
      </c>
      <c r="H79" s="16"/>
      <c r="I79" s="16">
        <v>47061.0</v>
      </c>
      <c r="J79" s="11" t="s">
        <v>61</v>
      </c>
      <c r="K79" s="11" t="s">
        <v>62</v>
      </c>
      <c r="L79" s="18">
        <v>46286.53145833333</v>
      </c>
      <c r="M79" s="18">
        <v>46286.53150462963</v>
      </c>
      <c r="N79" s="11" t="s">
        <v>63</v>
      </c>
      <c r="O79" s="11">
        <v>0.0</v>
      </c>
      <c r="P79" s="11" t="s">
        <v>793</v>
      </c>
      <c r="Q79" s="11" t="s">
        <v>794</v>
      </c>
      <c r="R79" s="11"/>
      <c r="S79" s="11" t="s">
        <v>795</v>
      </c>
      <c r="T79" s="11">
        <v>1056.0</v>
      </c>
      <c r="U79" s="11" t="s">
        <v>493</v>
      </c>
      <c r="V79" s="11" t="s">
        <v>68</v>
      </c>
      <c r="W79" s="11">
        <v>1640.0</v>
      </c>
      <c r="X79" s="11" t="s">
        <v>69</v>
      </c>
      <c r="Y79" s="11" t="s">
        <v>796</v>
      </c>
      <c r="Z79" s="11">
        <v>5.41135701029E11</v>
      </c>
      <c r="AA79" s="11" t="s">
        <v>71</v>
      </c>
      <c r="AB79" s="11"/>
      <c r="AC79" s="11"/>
      <c r="AD79" s="18">
        <v>46286.53150462963</v>
      </c>
      <c r="AE79" s="11" t="s">
        <v>797</v>
      </c>
      <c r="AF79" s="11" t="s">
        <v>798</v>
      </c>
      <c r="AG79" s="18">
        <v>46286.65645833333</v>
      </c>
      <c r="AH79" s="18">
        <v>46286.65650462963</v>
      </c>
      <c r="AI79" s="11"/>
      <c r="AJ79" s="18">
        <v>46286.65650462963</v>
      </c>
      <c r="AK79" s="11">
        <v>18234.0</v>
      </c>
      <c r="AL79" s="21" t="s">
        <v>75</v>
      </c>
      <c r="AM79" s="16"/>
      <c r="AN79" s="16"/>
      <c r="AO79" s="23" t="s">
        <v>799</v>
      </c>
      <c r="AP79" s="16" t="s">
        <v>76</v>
      </c>
      <c r="AQ79" s="16">
        <v>3658.0</v>
      </c>
      <c r="AR79" s="16"/>
      <c r="AS79" s="10" t="s">
        <v>357</v>
      </c>
      <c r="AT79" s="11" t="s">
        <v>800</v>
      </c>
      <c r="AU79" s="11" t="s">
        <v>801</v>
      </c>
      <c r="AV79" s="11">
        <v>5.5342887E7</v>
      </c>
      <c r="AW79" s="11" t="s">
        <v>99</v>
      </c>
      <c r="AX79" s="11">
        <v>1.135701029E9</v>
      </c>
      <c r="AY79" s="11" t="s">
        <v>796</v>
      </c>
      <c r="AZ79" s="24">
        <v>42477.0</v>
      </c>
      <c r="BA79" s="11" t="s">
        <v>802</v>
      </c>
      <c r="BB79" s="11" t="s">
        <v>101</v>
      </c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</row>
    <row r="80" ht="19.5" customHeight="1">
      <c r="A80" s="10" t="b">
        <v>0</v>
      </c>
      <c r="B80" s="11"/>
      <c r="C80" s="13" t="s">
        <v>59</v>
      </c>
      <c r="D80" s="14" t="s">
        <v>60</v>
      </c>
      <c r="E80" s="11"/>
      <c r="F80" s="15" t="s">
        <v>4</v>
      </c>
      <c r="G80" s="16">
        <v>346.0</v>
      </c>
      <c r="H80" s="16"/>
      <c r="I80" s="16">
        <v>47069.0</v>
      </c>
      <c r="J80" s="11" t="s">
        <v>61</v>
      </c>
      <c r="K80" s="11" t="s">
        <v>62</v>
      </c>
      <c r="L80" s="18">
        <v>46286.56116898148</v>
      </c>
      <c r="M80" s="18">
        <v>46286.56122685185</v>
      </c>
      <c r="N80" s="11" t="s">
        <v>63</v>
      </c>
      <c r="O80" s="11">
        <v>0.0</v>
      </c>
      <c r="P80" s="11" t="s">
        <v>803</v>
      </c>
      <c r="Q80" s="11" t="s">
        <v>804</v>
      </c>
      <c r="R80" s="11"/>
      <c r="S80" s="11" t="s">
        <v>805</v>
      </c>
      <c r="T80" s="11"/>
      <c r="U80" s="11" t="s">
        <v>806</v>
      </c>
      <c r="V80" s="11" t="s">
        <v>101</v>
      </c>
      <c r="W80" s="11">
        <v>2107.0</v>
      </c>
      <c r="X80" s="11" t="s">
        <v>69</v>
      </c>
      <c r="Y80" s="11" t="s">
        <v>807</v>
      </c>
      <c r="Z80" s="11">
        <v>3.415461939E9</v>
      </c>
      <c r="AA80" s="11" t="s">
        <v>71</v>
      </c>
      <c r="AB80" s="11"/>
      <c r="AC80" s="11"/>
      <c r="AD80" s="11"/>
      <c r="AE80" s="11" t="s">
        <v>808</v>
      </c>
      <c r="AF80" s="11" t="s">
        <v>809</v>
      </c>
      <c r="AG80" s="18">
        <v>46286.68616898148</v>
      </c>
      <c r="AH80" s="18">
        <v>46286.68622685185</v>
      </c>
      <c r="AI80" s="11"/>
      <c r="AJ80" s="11"/>
      <c r="AK80" s="11">
        <v>18234.0</v>
      </c>
      <c r="AL80" s="21" t="s">
        <v>75</v>
      </c>
      <c r="AM80" s="16"/>
      <c r="AN80" s="16"/>
      <c r="AO80" s="23"/>
      <c r="AP80" s="16" t="s">
        <v>76</v>
      </c>
      <c r="AQ80" s="16">
        <v>4362.0</v>
      </c>
      <c r="AR80" s="16"/>
      <c r="AS80" s="11" t="s">
        <v>810</v>
      </c>
      <c r="AT80" s="11" t="s">
        <v>411</v>
      </c>
      <c r="AU80" s="11" t="s">
        <v>804</v>
      </c>
      <c r="AV80" s="11">
        <v>5.4445426E7</v>
      </c>
      <c r="AW80" s="11" t="s">
        <v>99</v>
      </c>
      <c r="AX80" s="11">
        <v>3.415461939E9</v>
      </c>
      <c r="AY80" s="11" t="s">
        <v>807</v>
      </c>
      <c r="AZ80" s="24">
        <v>41591.0</v>
      </c>
      <c r="BA80" s="11" t="s">
        <v>811</v>
      </c>
      <c r="BB80" s="11" t="s">
        <v>349</v>
      </c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</row>
    <row r="81" ht="19.5" customHeight="1">
      <c r="A81" s="10" t="b">
        <v>0</v>
      </c>
      <c r="B81" s="11"/>
      <c r="C81" s="13" t="s">
        <v>59</v>
      </c>
      <c r="D81" s="14" t="s">
        <v>60</v>
      </c>
      <c r="E81" s="11"/>
      <c r="F81" s="15" t="s">
        <v>4</v>
      </c>
      <c r="G81" s="16">
        <v>353.0</v>
      </c>
      <c r="H81" s="16"/>
      <c r="I81" s="16">
        <v>47076.0</v>
      </c>
      <c r="J81" s="11" t="s">
        <v>61</v>
      </c>
      <c r="K81" s="11" t="s">
        <v>62</v>
      </c>
      <c r="L81" s="18">
        <v>46286.58478009259</v>
      </c>
      <c r="M81" s="18">
        <v>46286.58484953704</v>
      </c>
      <c r="N81" s="11" t="s">
        <v>63</v>
      </c>
      <c r="O81" s="11">
        <v>0.0</v>
      </c>
      <c r="P81" s="11" t="s">
        <v>812</v>
      </c>
      <c r="Q81" s="11" t="s">
        <v>813</v>
      </c>
      <c r="R81" s="11"/>
      <c r="S81" s="11" t="s">
        <v>814</v>
      </c>
      <c r="T81" s="11" t="s">
        <v>815</v>
      </c>
      <c r="U81" s="11" t="s">
        <v>158</v>
      </c>
      <c r="V81" s="11" t="s">
        <v>126</v>
      </c>
      <c r="W81" s="11" t="s">
        <v>816</v>
      </c>
      <c r="X81" s="11" t="s">
        <v>69</v>
      </c>
      <c r="Y81" s="11" t="s">
        <v>817</v>
      </c>
      <c r="Z81" s="11">
        <v>5.41130061435E11</v>
      </c>
      <c r="AA81" s="11" t="s">
        <v>71</v>
      </c>
      <c r="AB81" s="11"/>
      <c r="AC81" s="11"/>
      <c r="AD81" s="18">
        <v>46286.58484953704</v>
      </c>
      <c r="AE81" s="11" t="s">
        <v>818</v>
      </c>
      <c r="AF81" s="11" t="s">
        <v>819</v>
      </c>
      <c r="AG81" s="18">
        <v>46286.70978009259</v>
      </c>
      <c r="AH81" s="18">
        <v>46286.70984953704</v>
      </c>
      <c r="AI81" s="11"/>
      <c r="AJ81" s="18">
        <v>46286.70984953704</v>
      </c>
      <c r="AK81" s="11">
        <v>18234.0</v>
      </c>
      <c r="AL81" s="21" t="s">
        <v>75</v>
      </c>
      <c r="AM81" s="16"/>
      <c r="AN81" s="14" t="s">
        <v>39</v>
      </c>
      <c r="AO81" s="23" t="s">
        <v>820</v>
      </c>
      <c r="AP81" s="16" t="s">
        <v>76</v>
      </c>
      <c r="AQ81" s="16">
        <v>3475.0</v>
      </c>
      <c r="AR81" s="16"/>
      <c r="AS81" s="11" t="s">
        <v>251</v>
      </c>
      <c r="AT81" s="11" t="s">
        <v>643</v>
      </c>
      <c r="AU81" s="11" t="s">
        <v>813</v>
      </c>
      <c r="AV81" s="11">
        <v>5.5695575E7</v>
      </c>
      <c r="AW81" s="11" t="s">
        <v>79</v>
      </c>
      <c r="AX81" s="11">
        <v>1.130061435E9</v>
      </c>
      <c r="AY81" s="11" t="s">
        <v>821</v>
      </c>
      <c r="AZ81" s="24">
        <v>42562.0</v>
      </c>
      <c r="BA81" s="11" t="s">
        <v>100</v>
      </c>
      <c r="BB81" s="11" t="s">
        <v>101</v>
      </c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</row>
    <row r="82" ht="19.5" customHeight="1">
      <c r="A82" s="10" t="b">
        <v>0</v>
      </c>
      <c r="B82" s="11"/>
      <c r="C82" s="13" t="s">
        <v>60</v>
      </c>
      <c r="D82" s="14" t="s">
        <v>60</v>
      </c>
      <c r="E82" s="11"/>
      <c r="F82" s="15" t="s">
        <v>4</v>
      </c>
      <c r="G82" s="16">
        <v>357.0</v>
      </c>
      <c r="H82" s="16"/>
      <c r="I82" s="16">
        <v>47080.0</v>
      </c>
      <c r="J82" s="11" t="s">
        <v>61</v>
      </c>
      <c r="K82" s="11" t="s">
        <v>62</v>
      </c>
      <c r="L82" s="18">
        <v>46286.600636574076</v>
      </c>
      <c r="M82" s="18">
        <v>46286.600694444445</v>
      </c>
      <c r="N82" s="11" t="s">
        <v>63</v>
      </c>
      <c r="O82" s="11">
        <v>0.0</v>
      </c>
      <c r="P82" s="11" t="s">
        <v>822</v>
      </c>
      <c r="Q82" s="11" t="s">
        <v>823</v>
      </c>
      <c r="R82" s="11"/>
      <c r="S82" s="11" t="s">
        <v>824</v>
      </c>
      <c r="T82" s="11"/>
      <c r="U82" s="11" t="s">
        <v>825</v>
      </c>
      <c r="V82" s="11" t="s">
        <v>68</v>
      </c>
      <c r="W82" s="11">
        <v>2804.0</v>
      </c>
      <c r="X82" s="11" t="s">
        <v>69</v>
      </c>
      <c r="Y82" s="11" t="s">
        <v>826</v>
      </c>
      <c r="Z82" s="11">
        <v>3.489326946E9</v>
      </c>
      <c r="AA82" s="11" t="s">
        <v>71</v>
      </c>
      <c r="AB82" s="11"/>
      <c r="AC82" s="11"/>
      <c r="AD82" s="11"/>
      <c r="AE82" s="11" t="s">
        <v>827</v>
      </c>
      <c r="AF82" s="11" t="s">
        <v>828</v>
      </c>
      <c r="AG82" s="18">
        <v>46286.725636574076</v>
      </c>
      <c r="AH82" s="18">
        <v>46286.725694444445</v>
      </c>
      <c r="AI82" s="11"/>
      <c r="AJ82" s="11"/>
      <c r="AK82" s="11">
        <v>18234.0</v>
      </c>
      <c r="AL82" s="21" t="s">
        <v>75</v>
      </c>
      <c r="AM82" s="16"/>
      <c r="AN82" s="16"/>
      <c r="AO82" s="23"/>
      <c r="AP82" s="16" t="s">
        <v>76</v>
      </c>
      <c r="AQ82" s="16">
        <v>3928.0</v>
      </c>
      <c r="AR82" s="16"/>
      <c r="AS82" s="11" t="s">
        <v>321</v>
      </c>
      <c r="AT82" s="11" t="s">
        <v>829</v>
      </c>
      <c r="AU82" s="11" t="s">
        <v>830</v>
      </c>
      <c r="AV82" s="11">
        <v>5.4609598E7</v>
      </c>
      <c r="AW82" s="11" t="s">
        <v>99</v>
      </c>
      <c r="AX82" s="11">
        <v>3.489326946E9</v>
      </c>
      <c r="AY82" s="11" t="s">
        <v>826</v>
      </c>
      <c r="AZ82" s="24">
        <v>42067.0</v>
      </c>
      <c r="BA82" s="11" t="s">
        <v>831</v>
      </c>
      <c r="BB82" s="11" t="s">
        <v>101</v>
      </c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</row>
    <row r="83" ht="19.5" customHeight="1">
      <c r="A83" s="10" t="b">
        <v>0</v>
      </c>
      <c r="B83" s="11"/>
      <c r="C83" s="13" t="s">
        <v>60</v>
      </c>
      <c r="D83" s="14" t="s">
        <v>60</v>
      </c>
      <c r="E83" s="11"/>
      <c r="F83" s="15" t="s">
        <v>4</v>
      </c>
      <c r="G83" s="16">
        <v>359.0</v>
      </c>
      <c r="H83" s="16"/>
      <c r="I83" s="16">
        <v>47082.0</v>
      </c>
      <c r="J83" s="11" t="s">
        <v>61</v>
      </c>
      <c r="K83" s="11" t="s">
        <v>62</v>
      </c>
      <c r="L83" s="18">
        <v>46286.60655092593</v>
      </c>
      <c r="M83" s="18">
        <v>46286.60659722222</v>
      </c>
      <c r="N83" s="11" t="s">
        <v>63</v>
      </c>
      <c r="O83" s="11">
        <v>0.0</v>
      </c>
      <c r="P83" s="11" t="s">
        <v>832</v>
      </c>
      <c r="Q83" s="11" t="s">
        <v>833</v>
      </c>
      <c r="R83" s="11"/>
      <c r="S83" s="11" t="s">
        <v>834</v>
      </c>
      <c r="T83" s="11"/>
      <c r="U83" s="11" t="s">
        <v>580</v>
      </c>
      <c r="V83" s="11" t="s">
        <v>68</v>
      </c>
      <c r="W83" s="11">
        <v>1641.0</v>
      </c>
      <c r="X83" s="11" t="s">
        <v>69</v>
      </c>
      <c r="Y83" s="11" t="s">
        <v>835</v>
      </c>
      <c r="Z83" s="11">
        <v>5.41140930786E11</v>
      </c>
      <c r="AA83" s="11" t="s">
        <v>71</v>
      </c>
      <c r="AB83" s="11"/>
      <c r="AC83" s="11"/>
      <c r="AD83" s="18">
        <v>46286.60659722222</v>
      </c>
      <c r="AE83" s="11" t="s">
        <v>836</v>
      </c>
      <c r="AF83" s="11" t="s">
        <v>837</v>
      </c>
      <c r="AG83" s="18">
        <v>46286.73155092593</v>
      </c>
      <c r="AH83" s="18">
        <v>46286.73159722222</v>
      </c>
      <c r="AI83" s="11"/>
      <c r="AJ83" s="18">
        <v>46286.73159722222</v>
      </c>
      <c r="AK83" s="11">
        <v>18234.0</v>
      </c>
      <c r="AL83" s="21" t="s">
        <v>75</v>
      </c>
      <c r="AM83" s="16"/>
      <c r="AN83" s="16"/>
      <c r="AO83" s="23" t="s">
        <v>838</v>
      </c>
      <c r="AP83" s="16" t="s">
        <v>76</v>
      </c>
      <c r="AQ83" s="16">
        <v>4075.0</v>
      </c>
      <c r="AR83" s="16"/>
      <c r="AS83" s="11" t="s">
        <v>251</v>
      </c>
      <c r="AT83" s="11" t="s">
        <v>839</v>
      </c>
      <c r="AU83" s="11" t="s">
        <v>840</v>
      </c>
      <c r="AV83" s="11">
        <v>5.58234E7</v>
      </c>
      <c r="AW83" s="11" t="s">
        <v>99</v>
      </c>
      <c r="AX83" s="11">
        <v>1.140930786E9</v>
      </c>
      <c r="AY83" s="11" t="s">
        <v>835</v>
      </c>
      <c r="AZ83" s="24">
        <v>42636.0</v>
      </c>
      <c r="BA83" s="11" t="s">
        <v>100</v>
      </c>
      <c r="BB83" s="11" t="s">
        <v>349</v>
      </c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</row>
    <row r="84" ht="19.5" customHeight="1">
      <c r="A84" s="10" t="b">
        <v>0</v>
      </c>
      <c r="B84" s="11"/>
      <c r="C84" s="13" t="s">
        <v>60</v>
      </c>
      <c r="D84" s="14" t="s">
        <v>60</v>
      </c>
      <c r="E84" s="11"/>
      <c r="F84" s="15" t="s">
        <v>4</v>
      </c>
      <c r="G84" s="16">
        <v>365.0</v>
      </c>
      <c r="H84" s="16"/>
      <c r="I84" s="16">
        <v>47088.0</v>
      </c>
      <c r="J84" s="11" t="s">
        <v>61</v>
      </c>
      <c r="K84" s="11" t="s">
        <v>62</v>
      </c>
      <c r="L84" s="18">
        <v>46286.61519675926</v>
      </c>
      <c r="M84" s="18">
        <v>46286.61528935185</v>
      </c>
      <c r="N84" s="11" t="s">
        <v>63</v>
      </c>
      <c r="O84" s="11">
        <v>0.0</v>
      </c>
      <c r="P84" s="11" t="s">
        <v>841</v>
      </c>
      <c r="Q84" s="11" t="s">
        <v>842</v>
      </c>
      <c r="R84" s="11"/>
      <c r="S84" s="11" t="s">
        <v>843</v>
      </c>
      <c r="T84" s="11">
        <v>5.0</v>
      </c>
      <c r="U84" s="11" t="s">
        <v>276</v>
      </c>
      <c r="V84" s="11" t="s">
        <v>126</v>
      </c>
      <c r="W84" s="11">
        <v>1428.0</v>
      </c>
      <c r="X84" s="11" t="s">
        <v>69</v>
      </c>
      <c r="Y84" s="11" t="s">
        <v>844</v>
      </c>
      <c r="Z84" s="11">
        <v>1.169786563E9</v>
      </c>
      <c r="AA84" s="11" t="s">
        <v>71</v>
      </c>
      <c r="AB84" s="11"/>
      <c r="AC84" s="11"/>
      <c r="AD84" s="11"/>
      <c r="AE84" s="11" t="s">
        <v>845</v>
      </c>
      <c r="AF84" s="11" t="s">
        <v>846</v>
      </c>
      <c r="AG84" s="18">
        <v>46286.74019675926</v>
      </c>
      <c r="AH84" s="18">
        <v>46286.74028935185</v>
      </c>
      <c r="AI84" s="11"/>
      <c r="AJ84" s="11"/>
      <c r="AK84" s="11">
        <v>18234.0</v>
      </c>
      <c r="AL84" s="21" t="s">
        <v>75</v>
      </c>
      <c r="AM84" s="16"/>
      <c r="AN84" s="16"/>
      <c r="AO84" s="23"/>
      <c r="AP84" s="16" t="s">
        <v>76</v>
      </c>
      <c r="AQ84" s="16">
        <v>4040.0</v>
      </c>
      <c r="AR84" s="16"/>
      <c r="AS84" s="11" t="s">
        <v>110</v>
      </c>
      <c r="AT84" s="11" t="s">
        <v>544</v>
      </c>
      <c r="AU84" s="11" t="s">
        <v>847</v>
      </c>
      <c r="AV84" s="11">
        <v>5.5165332E7</v>
      </c>
      <c r="AW84" s="11" t="s">
        <v>99</v>
      </c>
      <c r="AX84" s="11">
        <v>1.169786563E9</v>
      </c>
      <c r="AY84" s="11" t="s">
        <v>844</v>
      </c>
      <c r="AZ84" s="24">
        <v>42311.0</v>
      </c>
      <c r="BA84" s="11" t="s">
        <v>252</v>
      </c>
      <c r="BB84" s="11" t="s">
        <v>101</v>
      </c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</row>
    <row r="85" ht="19.5" customHeight="1">
      <c r="A85" s="10" t="b">
        <v>0</v>
      </c>
      <c r="B85" s="11"/>
      <c r="C85" s="13" t="s">
        <v>60</v>
      </c>
      <c r="D85" s="14" t="s">
        <v>60</v>
      </c>
      <c r="E85" s="11"/>
      <c r="F85" s="15" t="s">
        <v>4</v>
      </c>
      <c r="G85" s="16">
        <v>367.0</v>
      </c>
      <c r="H85" s="16"/>
      <c r="I85" s="16">
        <v>47090.0</v>
      </c>
      <c r="J85" s="11" t="s">
        <v>61</v>
      </c>
      <c r="K85" s="11" t="s">
        <v>62</v>
      </c>
      <c r="L85" s="18">
        <v>46286.619039351855</v>
      </c>
      <c r="M85" s="18">
        <v>46286.61908564815</v>
      </c>
      <c r="N85" s="11" t="s">
        <v>63</v>
      </c>
      <c r="O85" s="11">
        <v>0.0</v>
      </c>
      <c r="P85" s="11" t="s">
        <v>416</v>
      </c>
      <c r="Q85" s="11" t="s">
        <v>848</v>
      </c>
      <c r="R85" s="11"/>
      <c r="S85" s="11" t="s">
        <v>849</v>
      </c>
      <c r="T85" s="11"/>
      <c r="U85" s="11" t="s">
        <v>850</v>
      </c>
      <c r="V85" s="11" t="s">
        <v>68</v>
      </c>
      <c r="W85" s="11">
        <v>1641.0</v>
      </c>
      <c r="X85" s="11" t="s">
        <v>69</v>
      </c>
      <c r="Y85" s="11" t="s">
        <v>851</v>
      </c>
      <c r="Z85" s="11">
        <v>1.130701747E9</v>
      </c>
      <c r="AA85" s="11" t="s">
        <v>71</v>
      </c>
      <c r="AB85" s="11"/>
      <c r="AC85" s="11"/>
      <c r="AD85" s="18">
        <v>46286.61908564815</v>
      </c>
      <c r="AE85" s="11" t="s">
        <v>852</v>
      </c>
      <c r="AF85" s="11" t="s">
        <v>853</v>
      </c>
      <c r="AG85" s="18">
        <v>46286.744039351855</v>
      </c>
      <c r="AH85" s="18">
        <v>46286.74408564815</v>
      </c>
      <c r="AI85" s="11"/>
      <c r="AJ85" s="18">
        <v>46286.74408564815</v>
      </c>
      <c r="AK85" s="11">
        <v>18234.0</v>
      </c>
      <c r="AL85" s="21" t="s">
        <v>75</v>
      </c>
      <c r="AM85" s="16"/>
      <c r="AN85" s="16"/>
      <c r="AO85" s="23" t="s">
        <v>854</v>
      </c>
      <c r="AP85" s="16" t="s">
        <v>76</v>
      </c>
      <c r="AQ85" s="16">
        <v>4070.0</v>
      </c>
      <c r="AR85" s="16"/>
      <c r="AS85" s="11" t="s">
        <v>269</v>
      </c>
      <c r="AT85" s="11" t="s">
        <v>855</v>
      </c>
      <c r="AU85" s="11" t="s">
        <v>856</v>
      </c>
      <c r="AV85" s="11">
        <v>5.4816254E7</v>
      </c>
      <c r="AW85" s="11" t="s">
        <v>99</v>
      </c>
      <c r="AX85" s="11">
        <v>1.130701747E9</v>
      </c>
      <c r="AY85" s="11" t="s">
        <v>857</v>
      </c>
      <c r="AZ85" s="24">
        <v>42317.0</v>
      </c>
      <c r="BA85" s="11" t="s">
        <v>831</v>
      </c>
      <c r="BB85" s="11" t="s">
        <v>101</v>
      </c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</row>
    <row r="86" ht="19.5" customHeight="1">
      <c r="A86" s="10" t="b">
        <v>0</v>
      </c>
      <c r="B86" s="11"/>
      <c r="C86" s="13" t="s">
        <v>60</v>
      </c>
      <c r="D86" s="14" t="s">
        <v>60</v>
      </c>
      <c r="E86" s="11"/>
      <c r="F86" s="15" t="s">
        <v>4</v>
      </c>
      <c r="G86" s="16">
        <v>368.0</v>
      </c>
      <c r="H86" s="16"/>
      <c r="I86" s="16">
        <v>47091.0</v>
      </c>
      <c r="J86" s="11" t="s">
        <v>61</v>
      </c>
      <c r="K86" s="11" t="s">
        <v>62</v>
      </c>
      <c r="L86" s="18">
        <v>46286.62100694444</v>
      </c>
      <c r="M86" s="18">
        <v>46286.62106481481</v>
      </c>
      <c r="N86" s="11" t="s">
        <v>63</v>
      </c>
      <c r="O86" s="11">
        <v>0.0</v>
      </c>
      <c r="P86" s="11" t="s">
        <v>858</v>
      </c>
      <c r="Q86" s="11" t="s">
        <v>859</v>
      </c>
      <c r="R86" s="11"/>
      <c r="S86" s="11" t="s">
        <v>860</v>
      </c>
      <c r="T86" s="11"/>
      <c r="U86" s="11" t="s">
        <v>861</v>
      </c>
      <c r="V86" s="11" t="s">
        <v>68</v>
      </c>
      <c r="W86" s="11" t="s">
        <v>862</v>
      </c>
      <c r="X86" s="11" t="s">
        <v>69</v>
      </c>
      <c r="Y86" s="11" t="s">
        <v>863</v>
      </c>
      <c r="Z86" s="11">
        <v>1.149710231E9</v>
      </c>
      <c r="AA86" s="11" t="s">
        <v>71</v>
      </c>
      <c r="AB86" s="11"/>
      <c r="AC86" s="11"/>
      <c r="AD86" s="18">
        <v>46286.62106481481</v>
      </c>
      <c r="AE86" s="11" t="s">
        <v>864</v>
      </c>
      <c r="AF86" s="11" t="s">
        <v>865</v>
      </c>
      <c r="AG86" s="18">
        <v>46286.74600694444</v>
      </c>
      <c r="AH86" s="18">
        <v>46286.74606481481</v>
      </c>
      <c r="AI86" s="11"/>
      <c r="AJ86" s="18">
        <v>46286.74606481481</v>
      </c>
      <c r="AK86" s="11">
        <v>18234.0</v>
      </c>
      <c r="AL86" s="21" t="s">
        <v>75</v>
      </c>
      <c r="AM86" s="16"/>
      <c r="AN86" s="14" t="s">
        <v>39</v>
      </c>
      <c r="AO86" s="23" t="s">
        <v>866</v>
      </c>
      <c r="AP86" s="16" t="s">
        <v>76</v>
      </c>
      <c r="AQ86" s="16">
        <v>3927.0</v>
      </c>
      <c r="AR86" s="16"/>
      <c r="AS86" s="11" t="s">
        <v>668</v>
      </c>
      <c r="AT86" s="11" t="s">
        <v>497</v>
      </c>
      <c r="AU86" s="11" t="s">
        <v>859</v>
      </c>
      <c r="AV86" s="11">
        <v>5.5872832E7</v>
      </c>
      <c r="AW86" s="11" t="s">
        <v>79</v>
      </c>
      <c r="AX86" s="11">
        <v>1.167867351E9</v>
      </c>
      <c r="AY86" s="11" t="s">
        <v>863</v>
      </c>
      <c r="AZ86" s="24">
        <v>42675.0</v>
      </c>
      <c r="BA86" s="11" t="s">
        <v>867</v>
      </c>
      <c r="BB86" s="11" t="s">
        <v>101</v>
      </c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</row>
    <row r="87" ht="19.5" customHeight="1">
      <c r="A87" s="10" t="b">
        <v>0</v>
      </c>
      <c r="B87" s="11"/>
      <c r="C87" s="13" t="s">
        <v>60</v>
      </c>
      <c r="D87" s="14" t="s">
        <v>60</v>
      </c>
      <c r="E87" s="11"/>
      <c r="F87" s="15" t="s">
        <v>4</v>
      </c>
      <c r="G87" s="16">
        <v>371.0</v>
      </c>
      <c r="H87" s="16"/>
      <c r="I87" s="16">
        <v>47094.0</v>
      </c>
      <c r="J87" s="11" t="s">
        <v>61</v>
      </c>
      <c r="K87" s="11" t="s">
        <v>62</v>
      </c>
      <c r="L87" s="18">
        <v>46286.62603009259</v>
      </c>
      <c r="M87" s="18">
        <v>46286.62609953704</v>
      </c>
      <c r="N87" s="11" t="s">
        <v>63</v>
      </c>
      <c r="O87" s="11">
        <v>0.0</v>
      </c>
      <c r="P87" s="11" t="s">
        <v>868</v>
      </c>
      <c r="Q87" s="11" t="s">
        <v>869</v>
      </c>
      <c r="R87" s="11"/>
      <c r="S87" s="11" t="s">
        <v>870</v>
      </c>
      <c r="T87" s="11"/>
      <c r="U87" s="11" t="s">
        <v>871</v>
      </c>
      <c r="V87" s="11" t="s">
        <v>168</v>
      </c>
      <c r="W87" s="11"/>
      <c r="X87" s="11" t="s">
        <v>169</v>
      </c>
      <c r="Y87" s="11" t="s">
        <v>872</v>
      </c>
      <c r="Z87" s="11">
        <v>5.6968783573E10</v>
      </c>
      <c r="AA87" s="11" t="s">
        <v>71</v>
      </c>
      <c r="AB87" s="11"/>
      <c r="AC87" s="11"/>
      <c r="AD87" s="18">
        <v>46286.62609953704</v>
      </c>
      <c r="AE87" s="11" t="s">
        <v>873</v>
      </c>
      <c r="AF87" s="11" t="s">
        <v>874</v>
      </c>
      <c r="AG87" s="18">
        <v>46286.75103009259</v>
      </c>
      <c r="AH87" s="18">
        <v>46286.75109953704</v>
      </c>
      <c r="AI87" s="11"/>
      <c r="AJ87" s="18">
        <v>46286.75109953704</v>
      </c>
      <c r="AK87" s="11">
        <v>18234.0</v>
      </c>
      <c r="AL87" s="21" t="s">
        <v>75</v>
      </c>
      <c r="AM87" s="16"/>
      <c r="AN87" s="14" t="s">
        <v>39</v>
      </c>
      <c r="AO87" s="23" t="s">
        <v>875</v>
      </c>
      <c r="AP87" s="16" t="s">
        <v>175</v>
      </c>
      <c r="AQ87" s="16">
        <v>616.0</v>
      </c>
      <c r="AR87" s="16"/>
      <c r="AS87" s="11" t="s">
        <v>176</v>
      </c>
      <c r="AT87" s="11" t="s">
        <v>876</v>
      </c>
      <c r="AU87" s="11" t="s">
        <v>877</v>
      </c>
      <c r="AV87" s="11">
        <v>2.54654426E8</v>
      </c>
      <c r="AW87" s="11" t="s">
        <v>79</v>
      </c>
      <c r="AX87" s="11">
        <v>5.6968783573E10</v>
      </c>
      <c r="AY87" s="11" t="s">
        <v>872</v>
      </c>
      <c r="AZ87" s="24">
        <v>42587.0</v>
      </c>
      <c r="BA87" s="11" t="s">
        <v>878</v>
      </c>
      <c r="BB87" s="11" t="s">
        <v>101</v>
      </c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</row>
    <row r="88" ht="19.5" customHeight="1">
      <c r="A88" s="10" t="b">
        <v>0</v>
      </c>
      <c r="B88" s="11"/>
      <c r="C88" s="13" t="s">
        <v>60</v>
      </c>
      <c r="D88" s="14" t="s">
        <v>60</v>
      </c>
      <c r="E88" s="11"/>
      <c r="F88" s="15" t="s">
        <v>4</v>
      </c>
      <c r="G88" s="16">
        <v>373.0</v>
      </c>
      <c r="H88" s="16"/>
      <c r="I88" s="16">
        <v>47096.0</v>
      </c>
      <c r="J88" s="11" t="s">
        <v>61</v>
      </c>
      <c r="K88" s="11" t="s">
        <v>62</v>
      </c>
      <c r="L88" s="18">
        <v>46286.62917824074</v>
      </c>
      <c r="M88" s="18">
        <v>46286.62924768519</v>
      </c>
      <c r="N88" s="11" t="s">
        <v>63</v>
      </c>
      <c r="O88" s="11">
        <v>0.0</v>
      </c>
      <c r="P88" s="11" t="s">
        <v>120</v>
      </c>
      <c r="Q88" s="11" t="s">
        <v>879</v>
      </c>
      <c r="R88" s="11"/>
      <c r="S88" s="11" t="s">
        <v>880</v>
      </c>
      <c r="T88" s="11">
        <v>122.0</v>
      </c>
      <c r="U88" s="11" t="s">
        <v>134</v>
      </c>
      <c r="V88" s="11" t="s">
        <v>784</v>
      </c>
      <c r="W88" s="11"/>
      <c r="X88" s="11" t="s">
        <v>169</v>
      </c>
      <c r="Y88" s="11" t="s">
        <v>881</v>
      </c>
      <c r="Z88" s="11">
        <v>5.699865115E10</v>
      </c>
      <c r="AA88" s="11" t="s">
        <v>71</v>
      </c>
      <c r="AB88" s="11"/>
      <c r="AC88" s="11"/>
      <c r="AD88" s="18">
        <v>46286.62924768519</v>
      </c>
      <c r="AE88" s="11" t="s">
        <v>882</v>
      </c>
      <c r="AF88" s="11" t="s">
        <v>883</v>
      </c>
      <c r="AG88" s="18">
        <v>46286.75417824074</v>
      </c>
      <c r="AH88" s="18">
        <v>46286.75424768519</v>
      </c>
      <c r="AI88" s="11"/>
      <c r="AJ88" s="18">
        <v>46286.75424768519</v>
      </c>
      <c r="AK88" s="11">
        <v>18234.0</v>
      </c>
      <c r="AL88" s="21" t="s">
        <v>75</v>
      </c>
      <c r="AM88" s="16"/>
      <c r="AN88" s="14" t="s">
        <v>39</v>
      </c>
      <c r="AO88" s="23"/>
      <c r="AP88" s="16" t="s">
        <v>175</v>
      </c>
      <c r="AQ88" s="16">
        <v>844.0</v>
      </c>
      <c r="AR88" s="16"/>
      <c r="AS88" s="11" t="s">
        <v>176</v>
      </c>
      <c r="AT88" s="11" t="s">
        <v>884</v>
      </c>
      <c r="AU88" s="11" t="s">
        <v>885</v>
      </c>
      <c r="AV88" s="11">
        <v>2.47010572E8</v>
      </c>
      <c r="AW88" s="11" t="s">
        <v>79</v>
      </c>
      <c r="AX88" s="11">
        <v>5.699865115E10</v>
      </c>
      <c r="AY88" s="11" t="s">
        <v>881</v>
      </c>
      <c r="AZ88" s="24">
        <v>41851.0</v>
      </c>
      <c r="BA88" s="11" t="s">
        <v>886</v>
      </c>
      <c r="BB88" s="11" t="s">
        <v>81</v>
      </c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</row>
    <row r="89" ht="19.5" customHeight="1">
      <c r="A89" s="10" t="b">
        <v>0</v>
      </c>
      <c r="B89" s="11"/>
      <c r="C89" s="13" t="s">
        <v>60</v>
      </c>
      <c r="D89" s="14" t="s">
        <v>60</v>
      </c>
      <c r="E89" s="11"/>
      <c r="F89" s="15" t="s">
        <v>4</v>
      </c>
      <c r="G89" s="16">
        <v>375.0</v>
      </c>
      <c r="H89" s="16"/>
      <c r="I89" s="16">
        <v>47098.0</v>
      </c>
      <c r="J89" s="11" t="s">
        <v>61</v>
      </c>
      <c r="K89" s="11" t="s">
        <v>62</v>
      </c>
      <c r="L89" s="18">
        <v>46286.63487268519</v>
      </c>
      <c r="M89" s="18">
        <v>46286.63511574074</v>
      </c>
      <c r="N89" s="11" t="s">
        <v>63</v>
      </c>
      <c r="O89" s="11">
        <v>0.0</v>
      </c>
      <c r="P89" s="11" t="s">
        <v>887</v>
      </c>
      <c r="Q89" s="11" t="s">
        <v>888</v>
      </c>
      <c r="R89" s="11"/>
      <c r="S89" s="11" t="s">
        <v>889</v>
      </c>
      <c r="T89" s="11"/>
      <c r="U89" s="11" t="s">
        <v>890</v>
      </c>
      <c r="V89" s="11" t="s">
        <v>68</v>
      </c>
      <c r="W89" s="11">
        <v>1617.0</v>
      </c>
      <c r="X89" s="11" t="s">
        <v>69</v>
      </c>
      <c r="Y89" s="11" t="s">
        <v>891</v>
      </c>
      <c r="Z89" s="11">
        <v>1.169571706E9</v>
      </c>
      <c r="AA89" s="11" t="s">
        <v>71</v>
      </c>
      <c r="AB89" s="11"/>
      <c r="AC89" s="11"/>
      <c r="AD89" s="18">
        <v>46286.63511574074</v>
      </c>
      <c r="AE89" s="11" t="s">
        <v>892</v>
      </c>
      <c r="AF89" s="11" t="s">
        <v>893</v>
      </c>
      <c r="AG89" s="18">
        <v>46286.75987268519</v>
      </c>
      <c r="AH89" s="18">
        <v>46286.76011574074</v>
      </c>
      <c r="AI89" s="11"/>
      <c r="AJ89" s="18">
        <v>46286.76011574074</v>
      </c>
      <c r="AK89" s="11">
        <v>18234.0</v>
      </c>
      <c r="AL89" s="21" t="s">
        <v>75</v>
      </c>
      <c r="AM89" s="16"/>
      <c r="AN89" s="16"/>
      <c r="AO89" s="23" t="s">
        <v>894</v>
      </c>
      <c r="AP89" s="16" t="s">
        <v>76</v>
      </c>
      <c r="AQ89" s="16">
        <v>3065.0</v>
      </c>
      <c r="AR89" s="16"/>
      <c r="AS89" s="11" t="s">
        <v>357</v>
      </c>
      <c r="AT89" s="11" t="s">
        <v>895</v>
      </c>
      <c r="AU89" s="11" t="s">
        <v>155</v>
      </c>
      <c r="AV89" s="11">
        <v>5.3214574E7</v>
      </c>
      <c r="AW89" s="11" t="s">
        <v>99</v>
      </c>
      <c r="AX89" s="11">
        <v>1.169571706E9</v>
      </c>
      <c r="AY89" s="11" t="s">
        <v>891</v>
      </c>
      <c r="AZ89" s="31">
        <v>41491.0</v>
      </c>
      <c r="BA89" s="11" t="s">
        <v>121</v>
      </c>
      <c r="BB89" s="11" t="s">
        <v>81</v>
      </c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</row>
    <row r="90" ht="19.5" customHeight="1">
      <c r="A90" s="10" t="b">
        <v>0</v>
      </c>
      <c r="B90" s="11"/>
      <c r="C90" s="13" t="s">
        <v>60</v>
      </c>
      <c r="D90" s="14" t="s">
        <v>60</v>
      </c>
      <c r="E90" s="11"/>
      <c r="F90" s="15" t="s">
        <v>4</v>
      </c>
      <c r="G90" s="16">
        <v>377.0</v>
      </c>
      <c r="H90" s="16"/>
      <c r="I90" s="16">
        <v>47100.0</v>
      </c>
      <c r="J90" s="11" t="s">
        <v>61</v>
      </c>
      <c r="K90" s="11" t="s">
        <v>62</v>
      </c>
      <c r="L90" s="18">
        <v>46286.63767361111</v>
      </c>
      <c r="M90" s="18">
        <v>46286.63773148148</v>
      </c>
      <c r="N90" s="11" t="s">
        <v>63</v>
      </c>
      <c r="O90" s="11">
        <v>0.0</v>
      </c>
      <c r="P90" s="11" t="s">
        <v>490</v>
      </c>
      <c r="Q90" s="11" t="s">
        <v>896</v>
      </c>
      <c r="R90" s="11"/>
      <c r="S90" s="11" t="s">
        <v>897</v>
      </c>
      <c r="T90" s="11"/>
      <c r="U90" s="11" t="s">
        <v>158</v>
      </c>
      <c r="V90" s="11" t="s">
        <v>126</v>
      </c>
      <c r="W90" s="11">
        <v>1428.0</v>
      </c>
      <c r="X90" s="11" t="s">
        <v>69</v>
      </c>
      <c r="Y90" s="11" t="s">
        <v>898</v>
      </c>
      <c r="Z90" s="11">
        <v>5.41151610182E11</v>
      </c>
      <c r="AA90" s="11" t="s">
        <v>71</v>
      </c>
      <c r="AB90" s="11"/>
      <c r="AC90" s="11"/>
      <c r="AD90" s="18">
        <v>46286.63773148148</v>
      </c>
      <c r="AE90" s="11" t="s">
        <v>899</v>
      </c>
      <c r="AF90" s="11" t="s">
        <v>900</v>
      </c>
      <c r="AG90" s="18">
        <v>46286.76267361111</v>
      </c>
      <c r="AH90" s="18">
        <v>46286.76273148148</v>
      </c>
      <c r="AI90" s="11"/>
      <c r="AJ90" s="18">
        <v>46286.76273148148</v>
      </c>
      <c r="AK90" s="11">
        <v>18234.0</v>
      </c>
      <c r="AL90" s="21" t="s">
        <v>75</v>
      </c>
      <c r="AM90" s="16"/>
      <c r="AN90" s="16"/>
      <c r="AO90" s="23" t="s">
        <v>901</v>
      </c>
      <c r="AP90" s="16" t="s">
        <v>76</v>
      </c>
      <c r="AQ90" s="16">
        <v>3676.0</v>
      </c>
      <c r="AR90" s="16"/>
      <c r="AS90" s="10" t="s">
        <v>357</v>
      </c>
      <c r="AT90" s="11" t="s">
        <v>588</v>
      </c>
      <c r="AU90" s="11" t="s">
        <v>896</v>
      </c>
      <c r="AV90" s="11">
        <v>5.3723655E7</v>
      </c>
      <c r="AW90" s="11" t="s">
        <v>99</v>
      </c>
      <c r="AX90" s="11">
        <v>1.151610182E9</v>
      </c>
      <c r="AY90" s="11" t="s">
        <v>898</v>
      </c>
      <c r="AZ90" s="24">
        <v>41685.0</v>
      </c>
      <c r="BA90" s="11" t="s">
        <v>902</v>
      </c>
      <c r="BB90" s="11" t="s">
        <v>81</v>
      </c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</row>
    <row r="91" ht="19.5" customHeight="1">
      <c r="A91" s="10" t="b">
        <v>0</v>
      </c>
      <c r="B91" s="11"/>
      <c r="C91" s="13" t="s">
        <v>60</v>
      </c>
      <c r="D91" s="14" t="s">
        <v>60</v>
      </c>
      <c r="E91" s="11"/>
      <c r="F91" s="15" t="s">
        <v>4</v>
      </c>
      <c r="G91" s="16">
        <v>386.0</v>
      </c>
      <c r="H91" s="16"/>
      <c r="I91" s="16">
        <v>47109.0</v>
      </c>
      <c r="J91" s="11" t="s">
        <v>61</v>
      </c>
      <c r="K91" s="11" t="s">
        <v>62</v>
      </c>
      <c r="L91" s="18">
        <v>46286.66119212963</v>
      </c>
      <c r="M91" s="18">
        <v>46286.66125</v>
      </c>
      <c r="N91" s="11" t="s">
        <v>63</v>
      </c>
      <c r="O91" s="11">
        <v>0.0</v>
      </c>
      <c r="P91" s="11" t="s">
        <v>903</v>
      </c>
      <c r="Q91" s="11" t="s">
        <v>904</v>
      </c>
      <c r="R91" s="11"/>
      <c r="S91" s="11" t="s">
        <v>905</v>
      </c>
      <c r="T91" s="11"/>
      <c r="U91" s="11" t="s">
        <v>234</v>
      </c>
      <c r="V91" s="11" t="s">
        <v>68</v>
      </c>
      <c r="W91" s="11">
        <v>1643.0</v>
      </c>
      <c r="X91" s="11" t="s">
        <v>69</v>
      </c>
      <c r="Y91" s="11" t="s">
        <v>906</v>
      </c>
      <c r="Z91" s="11">
        <v>5.41167306078E11</v>
      </c>
      <c r="AA91" s="11" t="s">
        <v>71</v>
      </c>
      <c r="AB91" s="11"/>
      <c r="AC91" s="11"/>
      <c r="AD91" s="18">
        <v>46286.66125</v>
      </c>
      <c r="AE91" s="11" t="s">
        <v>907</v>
      </c>
      <c r="AF91" s="11" t="s">
        <v>908</v>
      </c>
      <c r="AG91" s="18">
        <v>46286.78619212963</v>
      </c>
      <c r="AH91" s="18">
        <v>46286.78625</v>
      </c>
      <c r="AI91" s="11"/>
      <c r="AJ91" s="18">
        <v>46286.78625</v>
      </c>
      <c r="AK91" s="11">
        <v>18234.0</v>
      </c>
      <c r="AL91" s="21" t="s">
        <v>75</v>
      </c>
      <c r="AM91" s="16"/>
      <c r="AN91" s="14" t="s">
        <v>39</v>
      </c>
      <c r="AO91" s="23"/>
      <c r="AP91" s="16" t="s">
        <v>76</v>
      </c>
      <c r="AQ91" s="16">
        <v>4000.0</v>
      </c>
      <c r="AR91" s="16"/>
      <c r="AS91" s="11" t="s">
        <v>251</v>
      </c>
      <c r="AT91" s="11" t="s">
        <v>909</v>
      </c>
      <c r="AU91" s="11" t="s">
        <v>904</v>
      </c>
      <c r="AV91" s="11">
        <v>5.3442366E7</v>
      </c>
      <c r="AW91" s="11" t="s">
        <v>79</v>
      </c>
      <c r="AX91" s="11">
        <v>1.167306078E9</v>
      </c>
      <c r="AY91" s="11" t="s">
        <v>906</v>
      </c>
      <c r="AZ91" s="24">
        <v>41512.0</v>
      </c>
      <c r="BA91" s="11" t="s">
        <v>436</v>
      </c>
      <c r="BB91" s="11" t="s">
        <v>81</v>
      </c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</row>
    <row r="92" ht="19.5" customHeight="1">
      <c r="A92" s="10" t="b">
        <v>0</v>
      </c>
      <c r="B92" s="11"/>
      <c r="C92" s="13" t="s">
        <v>60</v>
      </c>
      <c r="D92" s="14" t="s">
        <v>60</v>
      </c>
      <c r="E92" s="11"/>
      <c r="F92" s="15" t="s">
        <v>4</v>
      </c>
      <c r="G92" s="16">
        <v>388.0</v>
      </c>
      <c r="H92" s="16"/>
      <c r="I92" s="16">
        <v>47112.0</v>
      </c>
      <c r="J92" s="11" t="s">
        <v>61</v>
      </c>
      <c r="K92" s="11" t="s">
        <v>62</v>
      </c>
      <c r="L92" s="18">
        <v>46286.67072916667</v>
      </c>
      <c r="M92" s="18">
        <v>46286.67078703704</v>
      </c>
      <c r="N92" s="11" t="s">
        <v>63</v>
      </c>
      <c r="O92" s="11">
        <v>0.0</v>
      </c>
      <c r="P92" s="11" t="s">
        <v>910</v>
      </c>
      <c r="Q92" s="11" t="s">
        <v>911</v>
      </c>
      <c r="R92" s="11"/>
      <c r="S92" s="11" t="s">
        <v>912</v>
      </c>
      <c r="T92" s="11"/>
      <c r="U92" s="11" t="s">
        <v>913</v>
      </c>
      <c r="V92" s="11" t="s">
        <v>126</v>
      </c>
      <c r="W92" s="11">
        <v>1642.0</v>
      </c>
      <c r="X92" s="11" t="s">
        <v>69</v>
      </c>
      <c r="Y92" s="11" t="s">
        <v>914</v>
      </c>
      <c r="Z92" s="11">
        <v>1.165521258E9</v>
      </c>
      <c r="AA92" s="11" t="s">
        <v>71</v>
      </c>
      <c r="AB92" s="11"/>
      <c r="AC92" s="11"/>
      <c r="AD92" s="18">
        <v>46286.67078703704</v>
      </c>
      <c r="AE92" s="11" t="s">
        <v>915</v>
      </c>
      <c r="AF92" s="11" t="s">
        <v>916</v>
      </c>
      <c r="AG92" s="18">
        <v>46286.79572916667</v>
      </c>
      <c r="AH92" s="18">
        <v>46286.79578703704</v>
      </c>
      <c r="AI92" s="11"/>
      <c r="AJ92" s="18">
        <v>46286.79578703704</v>
      </c>
      <c r="AK92" s="11">
        <v>18234.0</v>
      </c>
      <c r="AL92" s="21" t="s">
        <v>75</v>
      </c>
      <c r="AM92" s="16"/>
      <c r="AN92" s="14" t="s">
        <v>39</v>
      </c>
      <c r="AO92" s="23"/>
      <c r="AP92" s="16" t="s">
        <v>76</v>
      </c>
      <c r="AQ92" s="16">
        <v>3691.0</v>
      </c>
      <c r="AR92" s="16"/>
      <c r="AS92" s="11" t="s">
        <v>251</v>
      </c>
      <c r="AT92" s="11" t="s">
        <v>917</v>
      </c>
      <c r="AU92" s="11" t="s">
        <v>918</v>
      </c>
      <c r="AV92" s="11">
        <v>5.438517E7</v>
      </c>
      <c r="AW92" s="11" t="s">
        <v>79</v>
      </c>
      <c r="AX92" s="11">
        <v>1.165521258E9</v>
      </c>
      <c r="AY92" s="11" t="s">
        <v>914</v>
      </c>
      <c r="AZ92" s="24">
        <v>41965.0</v>
      </c>
      <c r="BA92" s="11" t="s">
        <v>144</v>
      </c>
      <c r="BB92" s="11" t="s">
        <v>101</v>
      </c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</row>
    <row r="93" ht="19.5" customHeight="1">
      <c r="A93" s="10" t="b">
        <v>0</v>
      </c>
      <c r="B93" s="11"/>
      <c r="C93" s="13" t="s">
        <v>60</v>
      </c>
      <c r="D93" s="14" t="s">
        <v>60</v>
      </c>
      <c r="E93" s="11"/>
      <c r="F93" s="15" t="s">
        <v>4</v>
      </c>
      <c r="G93" s="16">
        <v>403.0</v>
      </c>
      <c r="H93" s="16"/>
      <c r="I93" s="16">
        <v>47127.0</v>
      </c>
      <c r="J93" s="11" t="s">
        <v>61</v>
      </c>
      <c r="K93" s="11" t="s">
        <v>62</v>
      </c>
      <c r="L93" s="18">
        <v>46286.73204861111</v>
      </c>
      <c r="M93" s="18">
        <v>46286.73210648148</v>
      </c>
      <c r="N93" s="11" t="s">
        <v>63</v>
      </c>
      <c r="O93" s="11">
        <v>0.0</v>
      </c>
      <c r="P93" s="11" t="s">
        <v>339</v>
      </c>
      <c r="Q93" s="11" t="s">
        <v>919</v>
      </c>
      <c r="R93" s="11"/>
      <c r="S93" s="11" t="s">
        <v>920</v>
      </c>
      <c r="T93" s="11"/>
      <c r="U93" s="11" t="s">
        <v>921</v>
      </c>
      <c r="V93" s="11" t="s">
        <v>68</v>
      </c>
      <c r="W93" s="11">
        <v>1640.0</v>
      </c>
      <c r="X93" s="11" t="s">
        <v>69</v>
      </c>
      <c r="Y93" s="11" t="s">
        <v>922</v>
      </c>
      <c r="Z93" s="11" t="s">
        <v>923</v>
      </c>
      <c r="AA93" s="11" t="s">
        <v>71</v>
      </c>
      <c r="AB93" s="11"/>
      <c r="AC93" s="11"/>
      <c r="AD93" s="11"/>
      <c r="AE93" s="11" t="s">
        <v>924</v>
      </c>
      <c r="AF93" s="11" t="s">
        <v>925</v>
      </c>
      <c r="AG93" s="18">
        <v>46286.85704861111</v>
      </c>
      <c r="AH93" s="18">
        <v>46286.85710648148</v>
      </c>
      <c r="AI93" s="11"/>
      <c r="AJ93" s="11"/>
      <c r="AK93" s="11">
        <v>18234.0</v>
      </c>
      <c r="AL93" s="21" t="s">
        <v>75</v>
      </c>
      <c r="AM93" s="16"/>
      <c r="AN93" s="16"/>
      <c r="AO93" s="23" t="s">
        <v>926</v>
      </c>
      <c r="AP93" s="16" t="s">
        <v>76</v>
      </c>
      <c r="AQ93" s="16">
        <v>3818.0</v>
      </c>
      <c r="AR93" s="16"/>
      <c r="AS93" s="11" t="s">
        <v>668</v>
      </c>
      <c r="AT93" s="11" t="s">
        <v>927</v>
      </c>
      <c r="AU93" s="11" t="s">
        <v>928</v>
      </c>
      <c r="AV93" s="11">
        <v>5.469896E7</v>
      </c>
      <c r="AW93" s="11" t="s">
        <v>99</v>
      </c>
      <c r="AX93" s="11">
        <v>1.138530934E9</v>
      </c>
      <c r="AY93" s="11" t="s">
        <v>922</v>
      </c>
      <c r="AZ93" s="24">
        <v>42080.0</v>
      </c>
      <c r="BA93" s="11" t="s">
        <v>100</v>
      </c>
      <c r="BB93" s="11" t="s">
        <v>101</v>
      </c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</row>
    <row r="94" ht="19.5" customHeight="1">
      <c r="A94" s="10" t="b">
        <v>0</v>
      </c>
      <c r="B94" s="11"/>
      <c r="C94" s="13" t="s">
        <v>59</v>
      </c>
      <c r="D94" s="14" t="s">
        <v>60</v>
      </c>
      <c r="E94" s="11"/>
      <c r="F94" s="15" t="s">
        <v>4</v>
      </c>
      <c r="G94" s="16">
        <v>406.0</v>
      </c>
      <c r="H94" s="16"/>
      <c r="I94" s="16">
        <v>47130.0</v>
      </c>
      <c r="J94" s="11" t="s">
        <v>61</v>
      </c>
      <c r="K94" s="11" t="s">
        <v>62</v>
      </c>
      <c r="L94" s="18">
        <v>46286.73998842593</v>
      </c>
      <c r="M94" s="18">
        <v>46286.74003472222</v>
      </c>
      <c r="N94" s="11" t="s">
        <v>63</v>
      </c>
      <c r="O94" s="11">
        <v>0.0</v>
      </c>
      <c r="P94" s="11" t="s">
        <v>929</v>
      </c>
      <c r="Q94" s="11" t="s">
        <v>930</v>
      </c>
      <c r="R94" s="11"/>
      <c r="S94" s="11" t="s">
        <v>931</v>
      </c>
      <c r="T94" s="11" t="s">
        <v>932</v>
      </c>
      <c r="U94" s="11" t="s">
        <v>933</v>
      </c>
      <c r="V94" s="11" t="s">
        <v>101</v>
      </c>
      <c r="W94" s="11">
        <v>2000.0</v>
      </c>
      <c r="X94" s="11" t="s">
        <v>69</v>
      </c>
      <c r="Y94" s="11" t="s">
        <v>934</v>
      </c>
      <c r="Z94" s="11">
        <v>5.43415602671E11</v>
      </c>
      <c r="AA94" s="11" t="s">
        <v>71</v>
      </c>
      <c r="AB94" s="11"/>
      <c r="AC94" s="11"/>
      <c r="AD94" s="18">
        <v>46286.74003472222</v>
      </c>
      <c r="AE94" s="11" t="s">
        <v>935</v>
      </c>
      <c r="AF94" s="11" t="s">
        <v>936</v>
      </c>
      <c r="AG94" s="18">
        <v>46286.86498842593</v>
      </c>
      <c r="AH94" s="18">
        <v>46286.86503472222</v>
      </c>
      <c r="AI94" s="11"/>
      <c r="AJ94" s="18">
        <v>46286.86503472222</v>
      </c>
      <c r="AK94" s="11">
        <v>18234.0</v>
      </c>
      <c r="AL94" s="21" t="s">
        <v>75</v>
      </c>
      <c r="AM94" s="16"/>
      <c r="AN94" s="14" t="s">
        <v>39</v>
      </c>
      <c r="AO94" s="23"/>
      <c r="AP94" s="16" t="s">
        <v>76</v>
      </c>
      <c r="AQ94" s="16">
        <v>3821.0</v>
      </c>
      <c r="AR94" s="16"/>
      <c r="AS94" s="11" t="s">
        <v>648</v>
      </c>
      <c r="AT94" s="11" t="s">
        <v>198</v>
      </c>
      <c r="AU94" s="11" t="s">
        <v>937</v>
      </c>
      <c r="AV94" s="11">
        <v>5.5309698E7</v>
      </c>
      <c r="AW94" s="11" t="s">
        <v>79</v>
      </c>
      <c r="AX94" s="11">
        <v>3.415602671E9</v>
      </c>
      <c r="AY94" s="11" t="s">
        <v>934</v>
      </c>
      <c r="AZ94" s="24">
        <v>42353.0</v>
      </c>
      <c r="BA94" s="11" t="s">
        <v>938</v>
      </c>
      <c r="BB94" s="11" t="s">
        <v>101</v>
      </c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</row>
    <row r="95" ht="19.5" customHeight="1">
      <c r="A95" s="10" t="b">
        <v>0</v>
      </c>
      <c r="B95" s="11"/>
      <c r="C95" s="13" t="s">
        <v>59</v>
      </c>
      <c r="D95" s="14" t="s">
        <v>60</v>
      </c>
      <c r="E95" s="11"/>
      <c r="F95" s="15" t="s">
        <v>4</v>
      </c>
      <c r="G95" s="16">
        <v>407.0</v>
      </c>
      <c r="H95" s="16"/>
      <c r="I95" s="16">
        <v>47132.0</v>
      </c>
      <c r="J95" s="11" t="s">
        <v>61</v>
      </c>
      <c r="K95" s="11" t="s">
        <v>62</v>
      </c>
      <c r="L95" s="18">
        <v>46286.742314814815</v>
      </c>
      <c r="M95" s="18">
        <v>46286.74238425926</v>
      </c>
      <c r="N95" s="11" t="s">
        <v>63</v>
      </c>
      <c r="O95" s="11">
        <v>0.0</v>
      </c>
      <c r="P95" s="11" t="s">
        <v>939</v>
      </c>
      <c r="Q95" s="11" t="s">
        <v>940</v>
      </c>
      <c r="R95" s="11"/>
      <c r="S95" s="11" t="s">
        <v>941</v>
      </c>
      <c r="T95" s="11"/>
      <c r="U95" s="11" t="s">
        <v>540</v>
      </c>
      <c r="V95" s="11" t="s">
        <v>101</v>
      </c>
      <c r="W95" s="11" t="s">
        <v>942</v>
      </c>
      <c r="X95" s="11" t="s">
        <v>69</v>
      </c>
      <c r="Y95" s="11" t="s">
        <v>943</v>
      </c>
      <c r="Z95" s="11">
        <v>5.493416834351E12</v>
      </c>
      <c r="AA95" s="11" t="s">
        <v>71</v>
      </c>
      <c r="AB95" s="11"/>
      <c r="AC95" s="11"/>
      <c r="AD95" s="18">
        <v>46286.74238425926</v>
      </c>
      <c r="AE95" s="11" t="s">
        <v>944</v>
      </c>
      <c r="AF95" s="11" t="s">
        <v>945</v>
      </c>
      <c r="AG95" s="18">
        <v>46286.867314814815</v>
      </c>
      <c r="AH95" s="18">
        <v>46286.86738425926</v>
      </c>
      <c r="AI95" s="11"/>
      <c r="AJ95" s="18">
        <v>46286.86738425926</v>
      </c>
      <c r="AK95" s="11">
        <v>18234.0</v>
      </c>
      <c r="AL95" s="21" t="s">
        <v>75</v>
      </c>
      <c r="AM95" s="16"/>
      <c r="AN95" s="14" t="s">
        <v>39</v>
      </c>
      <c r="AO95" s="23"/>
      <c r="AP95" s="16" t="s">
        <v>76</v>
      </c>
      <c r="AQ95" s="16">
        <v>3663.0</v>
      </c>
      <c r="AR95" s="16"/>
      <c r="AS95" s="11" t="s">
        <v>505</v>
      </c>
      <c r="AT95" s="11" t="s">
        <v>946</v>
      </c>
      <c r="AU95" s="11" t="s">
        <v>947</v>
      </c>
      <c r="AV95" s="11">
        <v>5.4765769E7</v>
      </c>
      <c r="AW95" s="11" t="s">
        <v>79</v>
      </c>
      <c r="AX95" s="11">
        <v>3.416834351E9</v>
      </c>
      <c r="AY95" s="11" t="s">
        <v>948</v>
      </c>
      <c r="AZ95" s="24">
        <v>42103.0</v>
      </c>
      <c r="BA95" s="11" t="s">
        <v>949</v>
      </c>
      <c r="BB95" s="11" t="s">
        <v>101</v>
      </c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</row>
    <row r="96" ht="19.5" customHeight="1">
      <c r="A96" s="10" t="b">
        <v>0</v>
      </c>
      <c r="B96" s="11"/>
      <c r="C96" s="13" t="s">
        <v>60</v>
      </c>
      <c r="D96" s="14" t="s">
        <v>60</v>
      </c>
      <c r="E96" s="11"/>
      <c r="F96" s="15" t="s">
        <v>4</v>
      </c>
      <c r="G96" s="16">
        <v>411.0</v>
      </c>
      <c r="H96" s="16"/>
      <c r="I96" s="16">
        <v>47137.0</v>
      </c>
      <c r="J96" s="11" t="s">
        <v>61</v>
      </c>
      <c r="K96" s="11" t="s">
        <v>62</v>
      </c>
      <c r="L96" s="18">
        <v>46286.75528935185</v>
      </c>
      <c r="M96" s="18">
        <v>46286.7553587963</v>
      </c>
      <c r="N96" s="11" t="s">
        <v>63</v>
      </c>
      <c r="O96" s="11">
        <v>0.0</v>
      </c>
      <c r="P96" s="11" t="s">
        <v>950</v>
      </c>
      <c r="Q96" s="11" t="s">
        <v>951</v>
      </c>
      <c r="R96" s="11"/>
      <c r="S96" s="11" t="s">
        <v>952</v>
      </c>
      <c r="T96" s="11"/>
      <c r="U96" s="11" t="s">
        <v>234</v>
      </c>
      <c r="V96" s="11" t="s">
        <v>68</v>
      </c>
      <c r="W96" s="11">
        <v>1644.0</v>
      </c>
      <c r="X96" s="11" t="s">
        <v>69</v>
      </c>
      <c r="Y96" s="11" t="s">
        <v>953</v>
      </c>
      <c r="Z96" s="11">
        <v>4.4017277E7</v>
      </c>
      <c r="AA96" s="11" t="s">
        <v>71</v>
      </c>
      <c r="AB96" s="11"/>
      <c r="AC96" s="11"/>
      <c r="AD96" s="18">
        <v>46286.7553587963</v>
      </c>
      <c r="AE96" s="11" t="s">
        <v>954</v>
      </c>
      <c r="AF96" s="11" t="s">
        <v>955</v>
      </c>
      <c r="AG96" s="18">
        <v>46286.88028935185</v>
      </c>
      <c r="AH96" s="18">
        <v>46286.8803587963</v>
      </c>
      <c r="AI96" s="11"/>
      <c r="AJ96" s="18">
        <v>46286.8803587963</v>
      </c>
      <c r="AK96" s="11">
        <v>18234.0</v>
      </c>
      <c r="AL96" s="21" t="s">
        <v>75</v>
      </c>
      <c r="AM96" s="16"/>
      <c r="AN96" s="16"/>
      <c r="AO96" s="23"/>
      <c r="AP96" s="16" t="s">
        <v>76</v>
      </c>
      <c r="AQ96" s="16">
        <v>306.0</v>
      </c>
      <c r="AR96" s="16"/>
      <c r="AS96" s="11" t="s">
        <v>251</v>
      </c>
      <c r="AT96" s="11" t="s">
        <v>536</v>
      </c>
      <c r="AU96" s="11" t="s">
        <v>951</v>
      </c>
      <c r="AV96" s="11">
        <v>5.5991219E7</v>
      </c>
      <c r="AW96" s="11" t="s">
        <v>99</v>
      </c>
      <c r="AX96" s="11">
        <v>4.4017277E7</v>
      </c>
      <c r="AY96" s="11" t="s">
        <v>953</v>
      </c>
      <c r="AZ96" s="24">
        <v>42698.0</v>
      </c>
      <c r="BA96" s="11" t="s">
        <v>956</v>
      </c>
      <c r="BB96" s="11" t="s">
        <v>81</v>
      </c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</row>
    <row r="97" ht="19.5" customHeight="1">
      <c r="A97" s="10" t="b">
        <v>0</v>
      </c>
      <c r="B97" s="11"/>
      <c r="C97" s="13" t="s">
        <v>59</v>
      </c>
      <c r="D97" s="14" t="s">
        <v>60</v>
      </c>
      <c r="E97" s="11"/>
      <c r="F97" s="15" t="s">
        <v>4</v>
      </c>
      <c r="G97" s="16">
        <v>415.0</v>
      </c>
      <c r="H97" s="16"/>
      <c r="I97" s="16">
        <v>47141.0</v>
      </c>
      <c r="J97" s="11" t="s">
        <v>302</v>
      </c>
      <c r="K97" s="11" t="s">
        <v>62</v>
      </c>
      <c r="L97" s="18">
        <v>46286.76347222222</v>
      </c>
      <c r="M97" s="18">
        <v>46286.76353009259</v>
      </c>
      <c r="N97" s="11" t="s">
        <v>63</v>
      </c>
      <c r="O97" s="11">
        <v>0.0</v>
      </c>
      <c r="P97" s="11" t="s">
        <v>957</v>
      </c>
      <c r="Q97" s="11" t="s">
        <v>958</v>
      </c>
      <c r="R97" s="11"/>
      <c r="S97" s="11" t="s">
        <v>959</v>
      </c>
      <c r="T97" s="11" t="s">
        <v>960</v>
      </c>
      <c r="U97" s="11" t="s">
        <v>362</v>
      </c>
      <c r="V97" s="11" t="s">
        <v>126</v>
      </c>
      <c r="W97" s="11">
        <v>1428.0</v>
      </c>
      <c r="X97" s="11" t="s">
        <v>69</v>
      </c>
      <c r="Y97" s="11" t="s">
        <v>961</v>
      </c>
      <c r="Z97" s="11">
        <v>1.133112285E9</v>
      </c>
      <c r="AA97" s="11" t="s">
        <v>71</v>
      </c>
      <c r="AB97" s="11"/>
      <c r="AC97" s="11"/>
      <c r="AD97" s="11"/>
      <c r="AE97" s="11" t="s">
        <v>962</v>
      </c>
      <c r="AF97" s="11" t="s">
        <v>963</v>
      </c>
      <c r="AG97" s="18">
        <v>46286.88847222222</v>
      </c>
      <c r="AH97" s="18">
        <v>46286.88853009259</v>
      </c>
      <c r="AI97" s="11"/>
      <c r="AJ97" s="11"/>
      <c r="AK97" s="11">
        <v>18234.0</v>
      </c>
      <c r="AL97" s="21" t="s">
        <v>75</v>
      </c>
      <c r="AM97" s="16"/>
      <c r="AN97" s="16"/>
      <c r="AO97" s="23"/>
      <c r="AP97" s="16" t="s">
        <v>76</v>
      </c>
      <c r="AQ97" s="16">
        <v>49.0</v>
      </c>
      <c r="AR97" s="16"/>
      <c r="AS97" s="11" t="s">
        <v>197</v>
      </c>
      <c r="AT97" s="11" t="s">
        <v>964</v>
      </c>
      <c r="AU97" s="11" t="s">
        <v>965</v>
      </c>
      <c r="AV97" s="11">
        <v>5.2859295E7</v>
      </c>
      <c r="AW97" s="11" t="s">
        <v>99</v>
      </c>
      <c r="AX97" s="11">
        <v>1.133112285E9</v>
      </c>
      <c r="AY97" s="11" t="s">
        <v>961</v>
      </c>
      <c r="AZ97" s="24">
        <v>41253.0</v>
      </c>
      <c r="BA97" s="11" t="s">
        <v>966</v>
      </c>
      <c r="BB97" s="11" t="s">
        <v>349</v>
      </c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</row>
    <row r="98" ht="19.5" customHeight="1">
      <c r="A98" s="10" t="b">
        <v>0</v>
      </c>
      <c r="B98" s="11"/>
      <c r="C98" s="13" t="s">
        <v>59</v>
      </c>
      <c r="D98" s="14" t="s">
        <v>60</v>
      </c>
      <c r="E98" s="11"/>
      <c r="F98" s="15" t="s">
        <v>4</v>
      </c>
      <c r="G98" s="16">
        <v>421.0</v>
      </c>
      <c r="H98" s="16"/>
      <c r="I98" s="16">
        <v>47147.0</v>
      </c>
      <c r="J98" s="11" t="s">
        <v>302</v>
      </c>
      <c r="K98" s="11" t="s">
        <v>62</v>
      </c>
      <c r="L98" s="18">
        <v>46286.77494212963</v>
      </c>
      <c r="M98" s="18">
        <v>46286.77501157407</v>
      </c>
      <c r="N98" s="11" t="s">
        <v>63</v>
      </c>
      <c r="O98" s="11">
        <v>0.0</v>
      </c>
      <c r="P98" s="11" t="s">
        <v>967</v>
      </c>
      <c r="Q98" s="11" t="s">
        <v>968</v>
      </c>
      <c r="R98" s="11"/>
      <c r="S98" s="11" t="s">
        <v>969</v>
      </c>
      <c r="T98" s="11"/>
      <c r="U98" s="11" t="s">
        <v>643</v>
      </c>
      <c r="V98" s="11" t="s">
        <v>101</v>
      </c>
      <c r="W98" s="11">
        <v>2000.0</v>
      </c>
      <c r="X98" s="11" t="s">
        <v>69</v>
      </c>
      <c r="Y98" s="11" t="s">
        <v>970</v>
      </c>
      <c r="Z98" s="11">
        <v>3.416225416E9</v>
      </c>
      <c r="AA98" s="11" t="s">
        <v>71</v>
      </c>
      <c r="AB98" s="11"/>
      <c r="AC98" s="11"/>
      <c r="AD98" s="11"/>
      <c r="AE98" s="11" t="s">
        <v>971</v>
      </c>
      <c r="AF98" s="11" t="s">
        <v>972</v>
      </c>
      <c r="AG98" s="18">
        <v>46286.89994212963</v>
      </c>
      <c r="AH98" s="18">
        <v>46286.90001157407</v>
      </c>
      <c r="AI98" s="11"/>
      <c r="AJ98" s="11"/>
      <c r="AK98" s="11">
        <v>18234.0</v>
      </c>
      <c r="AL98" s="21" t="s">
        <v>75</v>
      </c>
      <c r="AM98" s="16"/>
      <c r="AN98" s="14" t="s">
        <v>39</v>
      </c>
      <c r="AO98" s="23"/>
      <c r="AP98" s="16" t="s">
        <v>76</v>
      </c>
      <c r="AQ98" s="16">
        <v>3510.0</v>
      </c>
      <c r="AR98" s="16"/>
      <c r="AS98" s="11" t="s">
        <v>505</v>
      </c>
      <c r="AT98" s="11" t="s">
        <v>909</v>
      </c>
      <c r="AU98" s="11" t="s">
        <v>968</v>
      </c>
      <c r="AV98" s="11">
        <v>5.4621004E7</v>
      </c>
      <c r="AW98" s="11" t="s">
        <v>79</v>
      </c>
      <c r="AX98" s="11">
        <v>3.416225416E9</v>
      </c>
      <c r="AY98" s="11" t="s">
        <v>970</v>
      </c>
      <c r="AZ98" s="24">
        <v>42080.0</v>
      </c>
      <c r="BA98" s="11" t="s">
        <v>973</v>
      </c>
      <c r="BB98" s="11" t="s">
        <v>101</v>
      </c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</row>
    <row r="99" ht="19.5" customHeight="1">
      <c r="A99" s="10" t="b">
        <v>0</v>
      </c>
      <c r="B99" s="11"/>
      <c r="C99" s="13" t="s">
        <v>59</v>
      </c>
      <c r="D99" s="14" t="s">
        <v>60</v>
      </c>
      <c r="E99" s="11"/>
      <c r="F99" s="15" t="s">
        <v>4</v>
      </c>
      <c r="G99" s="16">
        <v>424.0</v>
      </c>
      <c r="H99" s="16"/>
      <c r="I99" s="16">
        <v>47150.0</v>
      </c>
      <c r="J99" s="11" t="s">
        <v>61</v>
      </c>
      <c r="K99" s="11" t="s">
        <v>62</v>
      </c>
      <c r="L99" s="18">
        <v>46286.790358796294</v>
      </c>
      <c r="M99" s="18">
        <v>46286.790497685186</v>
      </c>
      <c r="N99" s="11" t="s">
        <v>63</v>
      </c>
      <c r="O99" s="11">
        <v>0.0</v>
      </c>
      <c r="P99" s="11" t="s">
        <v>974</v>
      </c>
      <c r="Q99" s="11" t="s">
        <v>975</v>
      </c>
      <c r="R99" s="11"/>
      <c r="S99" s="11" t="s">
        <v>976</v>
      </c>
      <c r="T99" s="11"/>
      <c r="U99" s="11" t="s">
        <v>977</v>
      </c>
      <c r="V99" s="11" t="s">
        <v>68</v>
      </c>
      <c r="W99" s="11">
        <v>2930.0</v>
      </c>
      <c r="X99" s="11" t="s">
        <v>69</v>
      </c>
      <c r="Y99" s="11" t="s">
        <v>978</v>
      </c>
      <c r="Z99" s="11">
        <v>5.43329532836E11</v>
      </c>
      <c r="AA99" s="11" t="s">
        <v>71</v>
      </c>
      <c r="AB99" s="11"/>
      <c r="AC99" s="11"/>
      <c r="AD99" s="18">
        <v>46286.790497685186</v>
      </c>
      <c r="AE99" s="11" t="s">
        <v>979</v>
      </c>
      <c r="AF99" s="11" t="s">
        <v>980</v>
      </c>
      <c r="AG99" s="18">
        <v>46286.915358796294</v>
      </c>
      <c r="AH99" s="18">
        <v>46286.915497685186</v>
      </c>
      <c r="AI99" s="11"/>
      <c r="AJ99" s="18">
        <v>46286.915497685186</v>
      </c>
      <c r="AK99" s="11">
        <v>18234.0</v>
      </c>
      <c r="AL99" s="21" t="s">
        <v>75</v>
      </c>
      <c r="AM99" s="16"/>
      <c r="AN99" s="16"/>
      <c r="AO99" s="23" t="s">
        <v>981</v>
      </c>
      <c r="AP99" s="16" t="s">
        <v>76</v>
      </c>
      <c r="AQ99" s="16">
        <v>3926.0</v>
      </c>
      <c r="AR99" s="16"/>
      <c r="AS99" s="11" t="s">
        <v>218</v>
      </c>
      <c r="AT99" s="11" t="s">
        <v>982</v>
      </c>
      <c r="AU99" s="11" t="s">
        <v>983</v>
      </c>
      <c r="AV99" s="11">
        <v>5.4621636E7</v>
      </c>
      <c r="AW99" s="11" t="s">
        <v>99</v>
      </c>
      <c r="AX99" s="11">
        <v>5.43329532836E11</v>
      </c>
      <c r="AY99" s="11" t="s">
        <v>978</v>
      </c>
      <c r="AZ99" s="31">
        <v>42060.0</v>
      </c>
      <c r="BA99" s="11" t="s">
        <v>984</v>
      </c>
      <c r="BB99" s="11" t="s">
        <v>101</v>
      </c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</row>
    <row r="100" ht="19.5" customHeight="1">
      <c r="A100" s="10" t="b">
        <v>0</v>
      </c>
      <c r="B100" s="11"/>
      <c r="C100" s="13" t="s">
        <v>59</v>
      </c>
      <c r="D100" s="14" t="s">
        <v>60</v>
      </c>
      <c r="E100" s="11"/>
      <c r="F100" s="15" t="s">
        <v>4</v>
      </c>
      <c r="G100" s="16">
        <v>426.0</v>
      </c>
      <c r="H100" s="16"/>
      <c r="I100" s="16">
        <v>47152.0</v>
      </c>
      <c r="J100" s="11" t="s">
        <v>402</v>
      </c>
      <c r="K100" s="11" t="s">
        <v>62</v>
      </c>
      <c r="L100" s="18">
        <v>46286.79403935185</v>
      </c>
      <c r="M100" s="18">
        <v>46286.79403935185</v>
      </c>
      <c r="N100" s="11" t="s">
        <v>63</v>
      </c>
      <c r="O100" s="11">
        <v>0.0</v>
      </c>
      <c r="P100" s="11" t="s">
        <v>985</v>
      </c>
      <c r="Q100" s="11" t="s">
        <v>986</v>
      </c>
      <c r="R100" s="11"/>
      <c r="S100" s="11" t="s">
        <v>987</v>
      </c>
      <c r="T100" s="11"/>
      <c r="U100" s="11" t="s">
        <v>988</v>
      </c>
      <c r="V100" s="11" t="s">
        <v>68</v>
      </c>
      <c r="W100" s="11">
        <v>7600.0</v>
      </c>
      <c r="X100" s="11" t="s">
        <v>69</v>
      </c>
      <c r="Y100" s="11" t="s">
        <v>989</v>
      </c>
      <c r="Z100" s="11">
        <v>5.42236190201E11</v>
      </c>
      <c r="AA100" s="11" t="s">
        <v>71</v>
      </c>
      <c r="AB100" s="11"/>
      <c r="AC100" s="11"/>
      <c r="AD100" s="11"/>
      <c r="AE100" s="11" t="s">
        <v>990</v>
      </c>
      <c r="AF100" s="11" t="s">
        <v>991</v>
      </c>
      <c r="AG100" s="18">
        <v>46286.91903935185</v>
      </c>
      <c r="AH100" s="18">
        <v>46286.91903935185</v>
      </c>
      <c r="AI100" s="11"/>
      <c r="AJ100" s="11"/>
      <c r="AK100" s="11">
        <v>18234.0</v>
      </c>
      <c r="AL100" s="21" t="s">
        <v>75</v>
      </c>
      <c r="AM100" s="16"/>
      <c r="AN100" s="14" t="s">
        <v>39</v>
      </c>
      <c r="AO100" s="23" t="s">
        <v>992</v>
      </c>
      <c r="AP100" s="16" t="s">
        <v>76</v>
      </c>
      <c r="AQ100" s="16">
        <v>4185.0</v>
      </c>
      <c r="AR100" s="16"/>
      <c r="AS100" s="11" t="s">
        <v>77</v>
      </c>
      <c r="AT100" s="11" t="s">
        <v>993</v>
      </c>
      <c r="AU100" s="11" t="s">
        <v>986</v>
      </c>
      <c r="AV100" s="11">
        <v>5.466595E7</v>
      </c>
      <c r="AW100" s="11" t="s">
        <v>79</v>
      </c>
      <c r="AX100" s="11">
        <v>2.236190201E9</v>
      </c>
      <c r="AY100" s="11" t="s">
        <v>989</v>
      </c>
      <c r="AZ100" s="31">
        <v>42057.0</v>
      </c>
      <c r="BA100" s="11" t="s">
        <v>100</v>
      </c>
      <c r="BB100" s="11" t="s">
        <v>101</v>
      </c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</row>
    <row r="101" ht="19.5" customHeight="1">
      <c r="A101" s="10" t="b">
        <v>0</v>
      </c>
      <c r="B101" s="11"/>
      <c r="C101" s="13" t="s">
        <v>60</v>
      </c>
      <c r="D101" s="14" t="s">
        <v>60</v>
      </c>
      <c r="E101" s="11"/>
      <c r="F101" s="15" t="s">
        <v>4</v>
      </c>
      <c r="G101" s="16">
        <v>427.0</v>
      </c>
      <c r="H101" s="16"/>
      <c r="I101" s="16">
        <v>47153.0</v>
      </c>
      <c r="J101" s="11" t="s">
        <v>61</v>
      </c>
      <c r="K101" s="11" t="s">
        <v>62</v>
      </c>
      <c r="L101" s="18">
        <v>46286.79886574074</v>
      </c>
      <c r="M101" s="18">
        <v>46286.79892361111</v>
      </c>
      <c r="N101" s="11" t="s">
        <v>63</v>
      </c>
      <c r="O101" s="11">
        <v>0.0</v>
      </c>
      <c r="P101" s="11" t="s">
        <v>994</v>
      </c>
      <c r="Q101" s="11" t="s">
        <v>995</v>
      </c>
      <c r="R101" s="11"/>
      <c r="S101" s="11" t="s">
        <v>996</v>
      </c>
      <c r="T101" s="11"/>
      <c r="U101" s="11" t="s">
        <v>137</v>
      </c>
      <c r="V101" s="11" t="s">
        <v>68</v>
      </c>
      <c r="W101" s="11">
        <v>1642.0</v>
      </c>
      <c r="X101" s="11" t="s">
        <v>69</v>
      </c>
      <c r="Y101" s="11" t="s">
        <v>997</v>
      </c>
      <c r="Z101" s="11">
        <v>1.167074475E9</v>
      </c>
      <c r="AA101" s="11" t="s">
        <v>71</v>
      </c>
      <c r="AB101" s="11"/>
      <c r="AC101" s="11"/>
      <c r="AD101" s="18">
        <v>46286.79892361111</v>
      </c>
      <c r="AE101" s="11" t="s">
        <v>998</v>
      </c>
      <c r="AF101" s="11" t="s">
        <v>999</v>
      </c>
      <c r="AG101" s="18">
        <v>46286.92386574074</v>
      </c>
      <c r="AH101" s="18">
        <v>46286.92392361111</v>
      </c>
      <c r="AI101" s="11"/>
      <c r="AJ101" s="18">
        <v>46286.92392361111</v>
      </c>
      <c r="AK101" s="11">
        <v>18234.0</v>
      </c>
      <c r="AL101" s="21" t="s">
        <v>75</v>
      </c>
      <c r="AM101" s="16"/>
      <c r="AN101" s="14" t="s">
        <v>39</v>
      </c>
      <c r="AO101" s="23"/>
      <c r="AP101" s="16" t="s">
        <v>76</v>
      </c>
      <c r="AQ101" s="16">
        <v>3631.0</v>
      </c>
      <c r="AR101" s="16"/>
      <c r="AS101" s="11" t="s">
        <v>251</v>
      </c>
      <c r="AT101" s="11" t="s">
        <v>876</v>
      </c>
      <c r="AU101" s="11" t="s">
        <v>1000</v>
      </c>
      <c r="AV101" s="11">
        <v>5.3856509E7</v>
      </c>
      <c r="AW101" s="11" t="s">
        <v>79</v>
      </c>
      <c r="AX101" s="11">
        <v>1.167074475E9</v>
      </c>
      <c r="AY101" s="11" t="s">
        <v>997</v>
      </c>
      <c r="AZ101" s="24">
        <v>41700.0</v>
      </c>
      <c r="BA101" s="11" t="s">
        <v>252</v>
      </c>
      <c r="BB101" s="11" t="s">
        <v>81</v>
      </c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</row>
    <row r="102" ht="19.5" customHeight="1">
      <c r="A102" s="10" t="b">
        <v>0</v>
      </c>
      <c r="B102" s="11"/>
      <c r="C102" s="13" t="s">
        <v>60</v>
      </c>
      <c r="D102" s="14" t="s">
        <v>60</v>
      </c>
      <c r="E102" s="11"/>
      <c r="F102" s="15" t="s">
        <v>4</v>
      </c>
      <c r="G102" s="16">
        <v>431.0</v>
      </c>
      <c r="H102" s="16"/>
      <c r="I102" s="16">
        <v>47157.0</v>
      </c>
      <c r="J102" s="11" t="s">
        <v>61</v>
      </c>
      <c r="K102" s="11" t="s">
        <v>62</v>
      </c>
      <c r="L102" s="18">
        <v>46286.809849537036</v>
      </c>
      <c r="M102" s="18">
        <v>46286.80993055556</v>
      </c>
      <c r="N102" s="11" t="s">
        <v>63</v>
      </c>
      <c r="O102" s="11">
        <v>0.0</v>
      </c>
      <c r="P102" s="11" t="s">
        <v>621</v>
      </c>
      <c r="Q102" s="11" t="s">
        <v>1001</v>
      </c>
      <c r="R102" s="11"/>
      <c r="S102" s="11" t="s">
        <v>1002</v>
      </c>
      <c r="T102" s="11"/>
      <c r="U102" s="11" t="s">
        <v>342</v>
      </c>
      <c r="V102" s="11" t="s">
        <v>68</v>
      </c>
      <c r="W102" s="11" t="s">
        <v>1003</v>
      </c>
      <c r="X102" s="11" t="s">
        <v>69</v>
      </c>
      <c r="Y102" s="11" t="s">
        <v>1004</v>
      </c>
      <c r="Z102" s="11">
        <v>1.136839235E9</v>
      </c>
      <c r="AA102" s="11" t="s">
        <v>71</v>
      </c>
      <c r="AB102" s="11"/>
      <c r="AC102" s="11"/>
      <c r="AD102" s="18">
        <v>46286.80993055556</v>
      </c>
      <c r="AE102" s="11" t="s">
        <v>1005</v>
      </c>
      <c r="AF102" s="11" t="s">
        <v>1006</v>
      </c>
      <c r="AG102" s="18">
        <v>46286.934849537036</v>
      </c>
      <c r="AH102" s="18">
        <v>46286.93493055556</v>
      </c>
      <c r="AI102" s="11"/>
      <c r="AJ102" s="18">
        <v>46286.93493055556</v>
      </c>
      <c r="AK102" s="11">
        <v>18234.0</v>
      </c>
      <c r="AL102" s="21" t="s">
        <v>75</v>
      </c>
      <c r="AM102" s="16"/>
      <c r="AN102" s="14" t="s">
        <v>39</v>
      </c>
      <c r="AO102" s="23" t="s">
        <v>1007</v>
      </c>
      <c r="AP102" s="16" t="s">
        <v>76</v>
      </c>
      <c r="AQ102" s="16">
        <v>3645.0</v>
      </c>
      <c r="AR102" s="16"/>
      <c r="AS102" s="11" t="s">
        <v>97</v>
      </c>
      <c r="AT102" s="11" t="s">
        <v>1008</v>
      </c>
      <c r="AU102" s="11" t="s">
        <v>1009</v>
      </c>
      <c r="AV102" s="11">
        <v>5.4022983E7</v>
      </c>
      <c r="AW102" s="11" t="s">
        <v>79</v>
      </c>
      <c r="AX102" s="11">
        <v>1.136839235E9</v>
      </c>
      <c r="AY102" s="11" t="s">
        <v>1004</v>
      </c>
      <c r="AZ102" s="24">
        <v>41918.0</v>
      </c>
      <c r="BA102" s="11" t="s">
        <v>144</v>
      </c>
      <c r="BB102" s="11" t="s">
        <v>81</v>
      </c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</row>
    <row r="103" ht="19.5" customHeight="1">
      <c r="A103" s="10" t="b">
        <v>0</v>
      </c>
      <c r="B103" s="11"/>
      <c r="C103" s="13" t="s">
        <v>60</v>
      </c>
      <c r="D103" s="14" t="s">
        <v>60</v>
      </c>
      <c r="E103" s="11"/>
      <c r="F103" s="15" t="s">
        <v>4</v>
      </c>
      <c r="G103" s="16">
        <v>460.0</v>
      </c>
      <c r="H103" s="16"/>
      <c r="I103" s="16">
        <v>47186.0</v>
      </c>
      <c r="J103" s="11" t="s">
        <v>302</v>
      </c>
      <c r="K103" s="11" t="s">
        <v>62</v>
      </c>
      <c r="L103" s="18">
        <v>46286.87464120371</v>
      </c>
      <c r="M103" s="18">
        <v>46286.87469907408</v>
      </c>
      <c r="N103" s="11" t="s">
        <v>63</v>
      </c>
      <c r="O103" s="11">
        <v>0.0</v>
      </c>
      <c r="P103" s="11" t="s">
        <v>120</v>
      </c>
      <c r="Q103" s="11" t="s">
        <v>1010</v>
      </c>
      <c r="R103" s="11"/>
      <c r="S103" s="11" t="s">
        <v>1011</v>
      </c>
      <c r="T103" s="11"/>
      <c r="U103" s="11" t="s">
        <v>158</v>
      </c>
      <c r="V103" s="11" t="s">
        <v>68</v>
      </c>
      <c r="W103" s="11">
        <v>1642.0</v>
      </c>
      <c r="X103" s="11" t="s">
        <v>69</v>
      </c>
      <c r="Y103" s="11" t="s">
        <v>1012</v>
      </c>
      <c r="Z103" s="11">
        <v>1.165125393E9</v>
      </c>
      <c r="AA103" s="11" t="s">
        <v>71</v>
      </c>
      <c r="AB103" s="11"/>
      <c r="AC103" s="11"/>
      <c r="AD103" s="11"/>
      <c r="AE103" s="11" t="s">
        <v>1013</v>
      </c>
      <c r="AF103" s="11" t="s">
        <v>1014</v>
      </c>
      <c r="AG103" s="18">
        <v>46286.99964120371</v>
      </c>
      <c r="AH103" s="18">
        <v>46286.99969907408</v>
      </c>
      <c r="AI103" s="11"/>
      <c r="AJ103" s="11"/>
      <c r="AK103" s="11">
        <v>18234.0</v>
      </c>
      <c r="AL103" s="21" t="s">
        <v>75</v>
      </c>
      <c r="AM103" s="16"/>
      <c r="AN103" s="14" t="s">
        <v>39</v>
      </c>
      <c r="AO103" s="23"/>
      <c r="AP103" s="16" t="s">
        <v>76</v>
      </c>
      <c r="AQ103" s="16">
        <v>3799.0</v>
      </c>
      <c r="AR103" s="16"/>
      <c r="AS103" s="11" t="s">
        <v>251</v>
      </c>
      <c r="AT103" s="11" t="s">
        <v>1015</v>
      </c>
      <c r="AU103" s="11" t="s">
        <v>1010</v>
      </c>
      <c r="AV103" s="11">
        <v>5.4877642E7</v>
      </c>
      <c r="AW103" s="11" t="s">
        <v>79</v>
      </c>
      <c r="AX103" s="11">
        <v>1.165125393E9</v>
      </c>
      <c r="AY103" s="11" t="s">
        <v>1012</v>
      </c>
      <c r="AZ103" s="24">
        <v>42180.0</v>
      </c>
      <c r="BA103" s="11" t="s">
        <v>144</v>
      </c>
      <c r="BB103" s="11" t="s">
        <v>101</v>
      </c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</row>
    <row r="104" ht="19.5" customHeight="1">
      <c r="A104" s="10" t="b">
        <v>0</v>
      </c>
      <c r="B104" s="11"/>
      <c r="C104" s="13" t="s">
        <v>59</v>
      </c>
      <c r="D104" s="14" t="s">
        <v>60</v>
      </c>
      <c r="E104" s="11"/>
      <c r="F104" s="15" t="s">
        <v>4</v>
      </c>
      <c r="G104" s="16">
        <v>472.0</v>
      </c>
      <c r="H104" s="16"/>
      <c r="I104" s="16">
        <v>47198.0</v>
      </c>
      <c r="J104" s="11" t="s">
        <v>61</v>
      </c>
      <c r="K104" s="11" t="s">
        <v>62</v>
      </c>
      <c r="L104" s="18">
        <v>46286.90980324074</v>
      </c>
      <c r="M104" s="18">
        <v>46286.910520833335</v>
      </c>
      <c r="N104" s="11" t="s">
        <v>63</v>
      </c>
      <c r="O104" s="11">
        <v>0.0</v>
      </c>
      <c r="P104" s="11" t="s">
        <v>1016</v>
      </c>
      <c r="Q104" s="11" t="s">
        <v>1017</v>
      </c>
      <c r="R104" s="11"/>
      <c r="S104" s="11" t="s">
        <v>1018</v>
      </c>
      <c r="T104" s="11">
        <v>10.0</v>
      </c>
      <c r="U104" s="11" t="s">
        <v>125</v>
      </c>
      <c r="V104" s="11" t="s">
        <v>126</v>
      </c>
      <c r="W104" s="11">
        <v>1224.0</v>
      </c>
      <c r="X104" s="11" t="s">
        <v>69</v>
      </c>
      <c r="Y104" s="11" t="s">
        <v>1019</v>
      </c>
      <c r="Z104" s="11">
        <v>1.161790072E9</v>
      </c>
      <c r="AA104" s="11" t="s">
        <v>71</v>
      </c>
      <c r="AB104" s="11"/>
      <c r="AC104" s="11"/>
      <c r="AD104" s="11"/>
      <c r="AE104" s="11" t="s">
        <v>1020</v>
      </c>
      <c r="AF104" s="11" t="s">
        <v>1021</v>
      </c>
      <c r="AG104" s="18">
        <v>46287.03480324074</v>
      </c>
      <c r="AH104" s="18">
        <v>46287.035520833335</v>
      </c>
      <c r="AI104" s="11"/>
      <c r="AJ104" s="11"/>
      <c r="AK104" s="11">
        <v>18234.0</v>
      </c>
      <c r="AL104" s="21" t="s">
        <v>75</v>
      </c>
      <c r="AM104" s="16"/>
      <c r="AN104" s="16"/>
      <c r="AO104" s="23" t="s">
        <v>1022</v>
      </c>
      <c r="AP104" s="16" t="s">
        <v>76</v>
      </c>
      <c r="AQ104" s="16">
        <v>3998.0</v>
      </c>
      <c r="AR104" s="16"/>
      <c r="AS104" s="11" t="s">
        <v>374</v>
      </c>
      <c r="AT104" s="11" t="s">
        <v>134</v>
      </c>
      <c r="AU104" s="11" t="s">
        <v>1017</v>
      </c>
      <c r="AV104" s="11">
        <v>5.4997737E7</v>
      </c>
      <c r="AW104" s="11" t="s">
        <v>99</v>
      </c>
      <c r="AX104" s="11">
        <v>1.161790072E9</v>
      </c>
      <c r="AY104" s="11" t="s">
        <v>1019</v>
      </c>
      <c r="AZ104" s="24">
        <v>42229.0</v>
      </c>
      <c r="BA104" s="11" t="s">
        <v>100</v>
      </c>
      <c r="BB104" s="11" t="s">
        <v>101</v>
      </c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</row>
    <row r="105" ht="19.5" customHeight="1">
      <c r="A105" s="10" t="b">
        <v>0</v>
      </c>
      <c r="B105" s="11"/>
      <c r="C105" s="13" t="s">
        <v>59</v>
      </c>
      <c r="D105" s="14" t="s">
        <v>60</v>
      </c>
      <c r="E105" s="11"/>
      <c r="F105" s="15" t="s">
        <v>4</v>
      </c>
      <c r="G105" s="16">
        <v>474.0</v>
      </c>
      <c r="H105" s="16"/>
      <c r="I105" s="16">
        <v>47200.0</v>
      </c>
      <c r="J105" s="11" t="s">
        <v>402</v>
      </c>
      <c r="K105" s="11" t="s">
        <v>62</v>
      </c>
      <c r="L105" s="18">
        <v>46286.91386574074</v>
      </c>
      <c r="M105" s="18">
        <v>46286.91386574074</v>
      </c>
      <c r="N105" s="11" t="s">
        <v>63</v>
      </c>
      <c r="O105" s="11">
        <v>0.0</v>
      </c>
      <c r="P105" s="11" t="s">
        <v>1023</v>
      </c>
      <c r="Q105" s="11" t="s">
        <v>1024</v>
      </c>
      <c r="R105" s="11"/>
      <c r="S105" s="11" t="s">
        <v>1025</v>
      </c>
      <c r="T105" s="11" t="s">
        <v>474</v>
      </c>
      <c r="U105" s="11" t="s">
        <v>913</v>
      </c>
      <c r="V105" s="11" t="s">
        <v>126</v>
      </c>
      <c r="W105" s="11">
        <v>1642.0</v>
      </c>
      <c r="X105" s="11" t="s">
        <v>69</v>
      </c>
      <c r="Y105" s="11" t="s">
        <v>1026</v>
      </c>
      <c r="Z105" s="11">
        <v>1.169937066E9</v>
      </c>
      <c r="AA105" s="11" t="s">
        <v>645</v>
      </c>
      <c r="AB105" s="11"/>
      <c r="AC105" s="11"/>
      <c r="AD105" s="11"/>
      <c r="AE105" s="11" t="s">
        <v>1027</v>
      </c>
      <c r="AF105" s="11" t="s">
        <v>1028</v>
      </c>
      <c r="AG105" s="18">
        <v>46287.03886574074</v>
      </c>
      <c r="AH105" s="18">
        <v>46287.03886574074</v>
      </c>
      <c r="AI105" s="11"/>
      <c r="AJ105" s="11"/>
      <c r="AK105" s="11">
        <v>18234.0</v>
      </c>
      <c r="AL105" s="21" t="s">
        <v>75</v>
      </c>
      <c r="AM105" s="16"/>
      <c r="AN105" s="14" t="s">
        <v>39</v>
      </c>
      <c r="AO105" s="23"/>
      <c r="AP105" s="16" t="s">
        <v>76</v>
      </c>
      <c r="AQ105" s="16">
        <v>7.0</v>
      </c>
      <c r="AR105" s="16"/>
      <c r="AS105" s="11" t="s">
        <v>612</v>
      </c>
      <c r="AT105" s="11" t="s">
        <v>1029</v>
      </c>
      <c r="AU105" s="11" t="s">
        <v>1030</v>
      </c>
      <c r="AV105" s="11">
        <v>5.4278136E7</v>
      </c>
      <c r="AW105" s="11" t="s">
        <v>79</v>
      </c>
      <c r="AX105" s="11">
        <v>1.163658885E9</v>
      </c>
      <c r="AY105" s="11" t="s">
        <v>1026</v>
      </c>
      <c r="AZ105" s="31">
        <v>41906.0</v>
      </c>
      <c r="BA105" s="11" t="s">
        <v>1031</v>
      </c>
      <c r="BB105" s="11" t="s">
        <v>81</v>
      </c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</row>
    <row r="106" ht="19.5" customHeight="1">
      <c r="A106" s="10" t="b">
        <v>0</v>
      </c>
      <c r="B106" s="11"/>
      <c r="C106" s="13" t="s">
        <v>59</v>
      </c>
      <c r="D106" s="14" t="s">
        <v>60</v>
      </c>
      <c r="E106" s="11"/>
      <c r="F106" s="15" t="s">
        <v>4</v>
      </c>
      <c r="G106" s="16">
        <v>477.0</v>
      </c>
      <c r="H106" s="16"/>
      <c r="I106" s="16">
        <v>47203.0</v>
      </c>
      <c r="J106" s="11" t="s">
        <v>61</v>
      </c>
      <c r="K106" s="11" t="s">
        <v>62</v>
      </c>
      <c r="L106" s="18">
        <v>46286.91951388889</v>
      </c>
      <c r="M106" s="18">
        <v>46286.91956018518</v>
      </c>
      <c r="N106" s="11" t="s">
        <v>63</v>
      </c>
      <c r="O106" s="11">
        <v>0.0</v>
      </c>
      <c r="P106" s="11" t="s">
        <v>241</v>
      </c>
      <c r="Q106" s="11" t="s">
        <v>1032</v>
      </c>
      <c r="R106" s="11"/>
      <c r="S106" s="11" t="s">
        <v>1033</v>
      </c>
      <c r="T106" s="11"/>
      <c r="U106" s="11" t="s">
        <v>158</v>
      </c>
      <c r="V106" s="11" t="s">
        <v>126</v>
      </c>
      <c r="W106" s="11">
        <v>1112.0</v>
      </c>
      <c r="X106" s="11" t="s">
        <v>69</v>
      </c>
      <c r="Y106" s="11" t="s">
        <v>1034</v>
      </c>
      <c r="Z106" s="11">
        <v>1.131501011E9</v>
      </c>
      <c r="AA106" s="11" t="s">
        <v>71</v>
      </c>
      <c r="AB106" s="11"/>
      <c r="AC106" s="11"/>
      <c r="AD106" s="18">
        <v>46286.91956018518</v>
      </c>
      <c r="AE106" s="11" t="s">
        <v>1035</v>
      </c>
      <c r="AF106" s="11" t="s">
        <v>1036</v>
      </c>
      <c r="AG106" s="18">
        <v>46287.04451388889</v>
      </c>
      <c r="AH106" s="18">
        <v>46287.04456018518</v>
      </c>
      <c r="AI106" s="11"/>
      <c r="AJ106" s="18">
        <v>46287.04456018518</v>
      </c>
      <c r="AK106" s="11">
        <v>18234.0</v>
      </c>
      <c r="AL106" s="21" t="s">
        <v>75</v>
      </c>
      <c r="AM106" s="16"/>
      <c r="AN106" s="16"/>
      <c r="AO106" s="23"/>
      <c r="AP106" s="16" t="s">
        <v>76</v>
      </c>
      <c r="AQ106" s="16">
        <v>3911.0</v>
      </c>
      <c r="AR106" s="16"/>
      <c r="AS106" s="11" t="s">
        <v>197</v>
      </c>
      <c r="AT106" s="11" t="s">
        <v>690</v>
      </c>
      <c r="AU106" s="11" t="s">
        <v>1037</v>
      </c>
      <c r="AV106" s="11">
        <v>5.5394079E7</v>
      </c>
      <c r="AW106" s="11" t="s">
        <v>99</v>
      </c>
      <c r="AX106" s="11">
        <v>1.131501011E9</v>
      </c>
      <c r="AY106" s="11" t="s">
        <v>1034</v>
      </c>
      <c r="AZ106" s="24">
        <v>42419.0</v>
      </c>
      <c r="BA106" s="11" t="s">
        <v>100</v>
      </c>
      <c r="BB106" s="11" t="s">
        <v>81</v>
      </c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</row>
    <row r="107" ht="19.5" customHeight="1">
      <c r="A107" s="10" t="b">
        <v>0</v>
      </c>
      <c r="B107" s="11"/>
      <c r="C107" s="13" t="s">
        <v>59</v>
      </c>
      <c r="D107" s="14" t="s">
        <v>60</v>
      </c>
      <c r="E107" s="11"/>
      <c r="F107" s="15" t="s">
        <v>4</v>
      </c>
      <c r="G107" s="16">
        <v>478.0</v>
      </c>
      <c r="H107" s="16"/>
      <c r="I107" s="16">
        <v>47204.0</v>
      </c>
      <c r="J107" s="11" t="s">
        <v>402</v>
      </c>
      <c r="K107" s="11" t="s">
        <v>62</v>
      </c>
      <c r="L107" s="18">
        <v>46286.92251157408</v>
      </c>
      <c r="M107" s="18">
        <v>46286.92251157408</v>
      </c>
      <c r="N107" s="11" t="s">
        <v>63</v>
      </c>
      <c r="O107" s="11">
        <v>0.0</v>
      </c>
      <c r="P107" s="11" t="s">
        <v>241</v>
      </c>
      <c r="Q107" s="11" t="s">
        <v>1032</v>
      </c>
      <c r="R107" s="11"/>
      <c r="S107" s="11" t="s">
        <v>1033</v>
      </c>
      <c r="T107" s="11"/>
      <c r="U107" s="11" t="s">
        <v>158</v>
      </c>
      <c r="V107" s="11" t="s">
        <v>126</v>
      </c>
      <c r="W107" s="11">
        <v>1112.0</v>
      </c>
      <c r="X107" s="11" t="s">
        <v>69</v>
      </c>
      <c r="Y107" s="11" t="s">
        <v>1034</v>
      </c>
      <c r="Z107" s="11">
        <v>1.131501011E9</v>
      </c>
      <c r="AA107" s="11" t="s">
        <v>71</v>
      </c>
      <c r="AB107" s="11"/>
      <c r="AC107" s="11"/>
      <c r="AD107" s="11"/>
      <c r="AE107" s="11" t="s">
        <v>1038</v>
      </c>
      <c r="AF107" s="11" t="s">
        <v>1039</v>
      </c>
      <c r="AG107" s="18">
        <v>46287.04751157408</v>
      </c>
      <c r="AH107" s="18">
        <v>46287.04751157408</v>
      </c>
      <c r="AI107" s="11"/>
      <c r="AJ107" s="11"/>
      <c r="AK107" s="11">
        <v>18234.0</v>
      </c>
      <c r="AL107" s="21" t="s">
        <v>75</v>
      </c>
      <c r="AM107" s="16"/>
      <c r="AN107" s="16"/>
      <c r="AO107" s="23"/>
      <c r="AP107" s="16" t="s">
        <v>76</v>
      </c>
      <c r="AQ107" s="16">
        <v>3754.0</v>
      </c>
      <c r="AR107" s="16"/>
      <c r="AS107" s="11" t="s">
        <v>197</v>
      </c>
      <c r="AT107" s="11" t="s">
        <v>839</v>
      </c>
      <c r="AU107" s="11" t="s">
        <v>1037</v>
      </c>
      <c r="AV107" s="11">
        <v>5.3581531E7</v>
      </c>
      <c r="AW107" s="11" t="s">
        <v>99</v>
      </c>
      <c r="AX107" s="11">
        <v>1.131501011E9</v>
      </c>
      <c r="AY107" s="11" t="s">
        <v>1034</v>
      </c>
      <c r="AZ107" s="24">
        <v>41565.0</v>
      </c>
      <c r="BA107" s="11" t="s">
        <v>100</v>
      </c>
      <c r="BB107" s="11" t="s">
        <v>81</v>
      </c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</row>
    <row r="108" ht="19.5" customHeight="1">
      <c r="A108" s="10" t="b">
        <v>0</v>
      </c>
      <c r="B108" s="11"/>
      <c r="C108" s="13" t="s">
        <v>60</v>
      </c>
      <c r="D108" s="14" t="s">
        <v>60</v>
      </c>
      <c r="E108" s="11"/>
      <c r="F108" s="15" t="s">
        <v>4</v>
      </c>
      <c r="G108" s="16">
        <v>479.0</v>
      </c>
      <c r="H108" s="16"/>
      <c r="I108" s="16">
        <v>47205.0</v>
      </c>
      <c r="J108" s="11" t="s">
        <v>61</v>
      </c>
      <c r="K108" s="11" t="s">
        <v>62</v>
      </c>
      <c r="L108" s="18">
        <v>46286.930868055555</v>
      </c>
      <c r="M108" s="18">
        <v>46286.930983796294</v>
      </c>
      <c r="N108" s="11" t="s">
        <v>63</v>
      </c>
      <c r="O108" s="11">
        <v>0.0</v>
      </c>
      <c r="P108" s="11" t="s">
        <v>1040</v>
      </c>
      <c r="Q108" s="11" t="s">
        <v>1041</v>
      </c>
      <c r="R108" s="11"/>
      <c r="S108" s="11" t="s">
        <v>1042</v>
      </c>
      <c r="T108" s="11" t="s">
        <v>1043</v>
      </c>
      <c r="U108" s="11" t="s">
        <v>276</v>
      </c>
      <c r="V108" s="11" t="s">
        <v>126</v>
      </c>
      <c r="W108" s="11">
        <v>1180.0</v>
      </c>
      <c r="X108" s="11" t="s">
        <v>69</v>
      </c>
      <c r="Y108" s="11" t="s">
        <v>1044</v>
      </c>
      <c r="Z108" s="11">
        <v>5.491165586633E12</v>
      </c>
      <c r="AA108" s="11" t="s">
        <v>71</v>
      </c>
      <c r="AB108" s="11"/>
      <c r="AC108" s="11"/>
      <c r="AD108" s="11"/>
      <c r="AE108" s="11" t="s">
        <v>1045</v>
      </c>
      <c r="AF108" s="11" t="s">
        <v>1046</v>
      </c>
      <c r="AG108" s="18">
        <v>46287.055868055555</v>
      </c>
      <c r="AH108" s="18">
        <v>46287.055983796294</v>
      </c>
      <c r="AI108" s="11"/>
      <c r="AJ108" s="11"/>
      <c r="AK108" s="11">
        <v>18234.0</v>
      </c>
      <c r="AL108" s="21" t="s">
        <v>75</v>
      </c>
      <c r="AM108" s="16"/>
      <c r="AN108" s="14" t="s">
        <v>39</v>
      </c>
      <c r="AO108" s="23" t="s">
        <v>1047</v>
      </c>
      <c r="AP108" s="16" t="s">
        <v>76</v>
      </c>
      <c r="AQ108" s="16">
        <v>3762.0</v>
      </c>
      <c r="AR108" s="16"/>
      <c r="AS108" s="11" t="s">
        <v>374</v>
      </c>
      <c r="AT108" s="11" t="s">
        <v>621</v>
      </c>
      <c r="AU108" s="11" t="s">
        <v>1048</v>
      </c>
      <c r="AV108" s="11">
        <v>5.3412108E7</v>
      </c>
      <c r="AW108" s="11" t="s">
        <v>79</v>
      </c>
      <c r="AX108" s="11">
        <v>1.11565586633E11</v>
      </c>
      <c r="AY108" s="11" t="s">
        <v>1049</v>
      </c>
      <c r="AZ108" s="24">
        <v>41478.0</v>
      </c>
      <c r="BA108" s="11" t="s">
        <v>1050</v>
      </c>
      <c r="BB108" s="11" t="s">
        <v>81</v>
      </c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</row>
    <row r="109" ht="19.5" customHeight="1">
      <c r="A109" s="10" t="b">
        <v>0</v>
      </c>
      <c r="B109" s="11"/>
      <c r="C109" s="13" t="s">
        <v>59</v>
      </c>
      <c r="D109" s="14" t="s">
        <v>60</v>
      </c>
      <c r="E109" s="11"/>
      <c r="F109" s="15" t="s">
        <v>4</v>
      </c>
      <c r="G109" s="16">
        <v>482.0</v>
      </c>
      <c r="H109" s="16"/>
      <c r="I109" s="16">
        <v>47208.0</v>
      </c>
      <c r="J109" s="11" t="s">
        <v>61</v>
      </c>
      <c r="K109" s="11" t="s">
        <v>62</v>
      </c>
      <c r="L109" s="18">
        <v>46286.94804398148</v>
      </c>
      <c r="M109" s="18">
        <v>46286.948113425926</v>
      </c>
      <c r="N109" s="11" t="s">
        <v>63</v>
      </c>
      <c r="O109" s="11">
        <v>0.0</v>
      </c>
      <c r="P109" s="11" t="s">
        <v>929</v>
      </c>
      <c r="Q109" s="11" t="s">
        <v>1051</v>
      </c>
      <c r="R109" s="11"/>
      <c r="S109" s="11" t="s">
        <v>1052</v>
      </c>
      <c r="T109" s="11"/>
      <c r="U109" s="11" t="s">
        <v>158</v>
      </c>
      <c r="V109" s="11" t="s">
        <v>68</v>
      </c>
      <c r="W109" s="11">
        <v>1640.0</v>
      </c>
      <c r="X109" s="11" t="s">
        <v>69</v>
      </c>
      <c r="Y109" s="11" t="s">
        <v>1053</v>
      </c>
      <c r="Z109" s="11">
        <v>1.124034174E9</v>
      </c>
      <c r="AA109" s="11" t="s">
        <v>71</v>
      </c>
      <c r="AB109" s="11"/>
      <c r="AC109" s="11"/>
      <c r="AD109" s="18">
        <v>46286.948113425926</v>
      </c>
      <c r="AE109" s="11" t="s">
        <v>1054</v>
      </c>
      <c r="AF109" s="11" t="s">
        <v>1055</v>
      </c>
      <c r="AG109" s="18">
        <v>46287.07304398148</v>
      </c>
      <c r="AH109" s="18">
        <v>46287.073113425926</v>
      </c>
      <c r="AI109" s="11"/>
      <c r="AJ109" s="18">
        <v>46287.073113425926</v>
      </c>
      <c r="AK109" s="11">
        <v>18234.0</v>
      </c>
      <c r="AL109" s="21" t="s">
        <v>75</v>
      </c>
      <c r="AM109" s="16"/>
      <c r="AN109" s="14" t="s">
        <v>39</v>
      </c>
      <c r="AO109" s="23" t="s">
        <v>1056</v>
      </c>
      <c r="AP109" s="16" t="s">
        <v>76</v>
      </c>
      <c r="AQ109" s="16">
        <v>4283.0</v>
      </c>
      <c r="AR109" s="16"/>
      <c r="AS109" s="11" t="s">
        <v>269</v>
      </c>
      <c r="AT109" s="11" t="s">
        <v>1057</v>
      </c>
      <c r="AU109" s="11" t="s">
        <v>1058</v>
      </c>
      <c r="AV109" s="11">
        <v>5.2450474E7</v>
      </c>
      <c r="AW109" s="11" t="s">
        <v>79</v>
      </c>
      <c r="AX109" s="11">
        <v>1.124034174E9</v>
      </c>
      <c r="AY109" s="11" t="s">
        <v>1053</v>
      </c>
      <c r="AZ109" s="24">
        <v>41029.0</v>
      </c>
      <c r="BA109" s="11" t="s">
        <v>121</v>
      </c>
      <c r="BB109" s="11" t="s">
        <v>101</v>
      </c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</row>
    <row r="110" ht="19.5" customHeight="1">
      <c r="A110" s="10" t="b">
        <v>1</v>
      </c>
      <c r="B110" s="42" t="s">
        <v>1059</v>
      </c>
      <c r="C110" s="13" t="s">
        <v>60</v>
      </c>
      <c r="D110" s="14" t="s">
        <v>60</v>
      </c>
      <c r="E110" s="11"/>
      <c r="F110" s="15" t="s">
        <v>4</v>
      </c>
      <c r="G110" s="16">
        <v>483.0</v>
      </c>
      <c r="H110" s="16"/>
      <c r="I110" s="16">
        <v>47209.0</v>
      </c>
      <c r="J110" s="11" t="s">
        <v>61</v>
      </c>
      <c r="K110" s="11" t="s">
        <v>62</v>
      </c>
      <c r="L110" s="18">
        <v>46286.94900462963</v>
      </c>
      <c r="M110" s="18">
        <v>46286.9490625</v>
      </c>
      <c r="N110" s="11" t="s">
        <v>63</v>
      </c>
      <c r="O110" s="11">
        <v>0.0</v>
      </c>
      <c r="P110" s="11" t="s">
        <v>1060</v>
      </c>
      <c r="Q110" s="11" t="s">
        <v>1061</v>
      </c>
      <c r="R110" s="11"/>
      <c r="S110" s="11" t="s">
        <v>1062</v>
      </c>
      <c r="T110" s="11"/>
      <c r="U110" s="11" t="s">
        <v>158</v>
      </c>
      <c r="V110" s="11" t="s">
        <v>68</v>
      </c>
      <c r="W110" s="11" t="s">
        <v>1063</v>
      </c>
      <c r="X110" s="11" t="s">
        <v>69</v>
      </c>
      <c r="Y110" s="11" t="s">
        <v>1064</v>
      </c>
      <c r="Z110" s="11">
        <v>1.161054862E9</v>
      </c>
      <c r="AA110" s="11" t="s">
        <v>71</v>
      </c>
      <c r="AB110" s="11"/>
      <c r="AC110" s="11"/>
      <c r="AD110" s="11"/>
      <c r="AE110" s="11" t="s">
        <v>1065</v>
      </c>
      <c r="AF110" s="11" t="s">
        <v>1066</v>
      </c>
      <c r="AG110" s="18">
        <v>46287.07400462963</v>
      </c>
      <c r="AH110" s="18">
        <v>46287.0740625</v>
      </c>
      <c r="AI110" s="11"/>
      <c r="AJ110" s="11"/>
      <c r="AK110" s="11">
        <v>18234.0</v>
      </c>
      <c r="AL110" s="21" t="s">
        <v>75</v>
      </c>
      <c r="AM110" s="16"/>
      <c r="AN110" s="16"/>
      <c r="AO110" s="23"/>
      <c r="AP110" s="45" t="s">
        <v>1067</v>
      </c>
      <c r="AQ110" s="16">
        <v>22445.0</v>
      </c>
      <c r="AR110" s="16"/>
      <c r="AS110" s="11" t="s">
        <v>1068</v>
      </c>
      <c r="AT110" s="11" t="s">
        <v>1069</v>
      </c>
      <c r="AU110" s="11" t="s">
        <v>1070</v>
      </c>
      <c r="AV110" s="11">
        <v>5.3417997E7</v>
      </c>
      <c r="AW110" s="11" t="s">
        <v>99</v>
      </c>
      <c r="AX110" s="11">
        <v>1.161054862E9</v>
      </c>
      <c r="AY110" s="11" t="s">
        <v>1064</v>
      </c>
      <c r="AZ110" s="24">
        <v>41528.0</v>
      </c>
      <c r="BA110" s="11" t="s">
        <v>252</v>
      </c>
      <c r="BB110" s="11" t="s">
        <v>81</v>
      </c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</row>
    <row r="111" ht="19.5" customHeight="1">
      <c r="A111" s="10" t="b">
        <v>0</v>
      </c>
      <c r="B111" s="11"/>
      <c r="C111" s="13" t="s">
        <v>59</v>
      </c>
      <c r="D111" s="14" t="s">
        <v>60</v>
      </c>
      <c r="E111" s="11"/>
      <c r="F111" s="15" t="s">
        <v>4</v>
      </c>
      <c r="G111" s="16">
        <v>486.0</v>
      </c>
      <c r="H111" s="16"/>
      <c r="I111" s="16">
        <v>47212.0</v>
      </c>
      <c r="J111" s="11" t="s">
        <v>302</v>
      </c>
      <c r="K111" s="11" t="s">
        <v>62</v>
      </c>
      <c r="L111" s="18">
        <v>46286.95532407407</v>
      </c>
      <c r="M111" s="18">
        <v>46286.95537037037</v>
      </c>
      <c r="N111" s="11" t="s">
        <v>63</v>
      </c>
      <c r="O111" s="11">
        <v>0.0</v>
      </c>
      <c r="P111" s="11" t="s">
        <v>1071</v>
      </c>
      <c r="Q111" s="11" t="s">
        <v>1072</v>
      </c>
      <c r="R111" s="11"/>
      <c r="S111" s="11" t="s">
        <v>1073</v>
      </c>
      <c r="T111" s="11"/>
      <c r="U111" s="11" t="s">
        <v>643</v>
      </c>
      <c r="V111" s="11" t="s">
        <v>101</v>
      </c>
      <c r="W111" s="11">
        <v>2000.0</v>
      </c>
      <c r="X111" s="11" t="s">
        <v>69</v>
      </c>
      <c r="Y111" s="11" t="s">
        <v>1074</v>
      </c>
      <c r="Z111" s="11">
        <v>3.41388633E9</v>
      </c>
      <c r="AA111" s="11" t="s">
        <v>645</v>
      </c>
      <c r="AB111" s="11"/>
      <c r="AC111" s="11"/>
      <c r="AD111" s="11"/>
      <c r="AE111" s="11" t="s">
        <v>1075</v>
      </c>
      <c r="AF111" s="11" t="s">
        <v>1076</v>
      </c>
      <c r="AG111" s="18">
        <v>46287.08032407407</v>
      </c>
      <c r="AH111" s="18">
        <v>46287.08037037037</v>
      </c>
      <c r="AI111" s="11"/>
      <c r="AJ111" s="11"/>
      <c r="AK111" s="11">
        <v>18234.0</v>
      </c>
      <c r="AL111" s="21" t="s">
        <v>75</v>
      </c>
      <c r="AM111" s="16"/>
      <c r="AN111" s="16"/>
      <c r="AO111" s="23"/>
      <c r="AP111" s="16" t="s">
        <v>76</v>
      </c>
      <c r="AQ111" s="16">
        <v>3996.0</v>
      </c>
      <c r="AR111" s="16"/>
      <c r="AS111" s="11" t="s">
        <v>505</v>
      </c>
      <c r="AT111" s="11" t="s">
        <v>98</v>
      </c>
      <c r="AU111" s="11" t="s">
        <v>1072</v>
      </c>
      <c r="AV111" s="11">
        <v>5.5793167E7</v>
      </c>
      <c r="AW111" s="11" t="s">
        <v>99</v>
      </c>
      <c r="AX111" s="11">
        <v>3.41388633E9</v>
      </c>
      <c r="AY111" s="11" t="s">
        <v>1074</v>
      </c>
      <c r="AZ111" s="24">
        <v>42666.0</v>
      </c>
      <c r="BA111" s="11" t="s">
        <v>1077</v>
      </c>
      <c r="BB111" s="11" t="s">
        <v>81</v>
      </c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</row>
    <row r="112" ht="19.5" customHeight="1">
      <c r="A112" s="10" t="b">
        <v>0</v>
      </c>
      <c r="B112" s="11"/>
      <c r="C112" s="13" t="s">
        <v>59</v>
      </c>
      <c r="D112" s="14" t="s">
        <v>60</v>
      </c>
      <c r="E112" s="11"/>
      <c r="F112" s="15" t="s">
        <v>4</v>
      </c>
      <c r="G112" s="16">
        <v>487.0</v>
      </c>
      <c r="H112" s="16"/>
      <c r="I112" s="16">
        <v>47213.0</v>
      </c>
      <c r="J112" s="11" t="s">
        <v>61</v>
      </c>
      <c r="K112" s="11" t="s">
        <v>62</v>
      </c>
      <c r="L112" s="18">
        <v>46286.96083333333</v>
      </c>
      <c r="M112" s="18">
        <v>46286.96087962963</v>
      </c>
      <c r="N112" s="11" t="s">
        <v>63</v>
      </c>
      <c r="O112" s="11">
        <v>0.0</v>
      </c>
      <c r="P112" s="11" t="s">
        <v>1078</v>
      </c>
      <c r="Q112" s="11" t="s">
        <v>1079</v>
      </c>
      <c r="R112" s="11"/>
      <c r="S112" s="11" t="s">
        <v>1080</v>
      </c>
      <c r="T112" s="11" t="s">
        <v>1081</v>
      </c>
      <c r="U112" s="11" t="s">
        <v>643</v>
      </c>
      <c r="V112" s="11" t="s">
        <v>101</v>
      </c>
      <c r="W112" s="11">
        <v>2000.0</v>
      </c>
      <c r="X112" s="11" t="s">
        <v>69</v>
      </c>
      <c r="Y112" s="11" t="s">
        <v>1082</v>
      </c>
      <c r="Z112" s="11">
        <v>3.413195439E9</v>
      </c>
      <c r="AA112" s="11" t="s">
        <v>71</v>
      </c>
      <c r="AB112" s="11"/>
      <c r="AC112" s="11"/>
      <c r="AD112" s="11"/>
      <c r="AE112" s="11" t="s">
        <v>1083</v>
      </c>
      <c r="AF112" s="11" t="s">
        <v>1084</v>
      </c>
      <c r="AG112" s="18">
        <v>46287.08583333333</v>
      </c>
      <c r="AH112" s="18">
        <v>46287.08587962963</v>
      </c>
      <c r="AI112" s="11"/>
      <c r="AJ112" s="11"/>
      <c r="AK112" s="11">
        <v>18234.0</v>
      </c>
      <c r="AL112" s="21" t="s">
        <v>75</v>
      </c>
      <c r="AM112" s="16"/>
      <c r="AN112" s="14" t="s">
        <v>39</v>
      </c>
      <c r="AO112" s="23" t="s">
        <v>676</v>
      </c>
      <c r="AP112" s="16" t="s">
        <v>76</v>
      </c>
      <c r="AQ112" s="16">
        <v>4265.0</v>
      </c>
      <c r="AR112" s="16"/>
      <c r="AS112" s="11" t="s">
        <v>648</v>
      </c>
      <c r="AT112" s="11" t="s">
        <v>1085</v>
      </c>
      <c r="AU112" s="11" t="s">
        <v>1079</v>
      </c>
      <c r="AV112" s="11">
        <v>5.4335431E7</v>
      </c>
      <c r="AW112" s="11" t="s">
        <v>79</v>
      </c>
      <c r="AX112" s="11">
        <v>3.413195439E9</v>
      </c>
      <c r="AY112" s="11" t="s">
        <v>1082</v>
      </c>
      <c r="AZ112" s="24">
        <v>41884.0</v>
      </c>
      <c r="BA112" s="11" t="s">
        <v>1086</v>
      </c>
      <c r="BB112" s="11" t="s">
        <v>81</v>
      </c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</row>
    <row r="113" ht="19.5" customHeight="1">
      <c r="A113" s="10" t="b">
        <v>0</v>
      </c>
      <c r="B113" s="11"/>
      <c r="C113" s="13" t="s">
        <v>60</v>
      </c>
      <c r="D113" s="14" t="s">
        <v>60</v>
      </c>
      <c r="E113" s="11"/>
      <c r="F113" s="15" t="s">
        <v>4</v>
      </c>
      <c r="G113" s="16">
        <v>488.0</v>
      </c>
      <c r="H113" s="16"/>
      <c r="I113" s="16">
        <v>47214.0</v>
      </c>
      <c r="J113" s="11" t="s">
        <v>61</v>
      </c>
      <c r="K113" s="11" t="s">
        <v>62</v>
      </c>
      <c r="L113" s="18">
        <v>46286.96635416667</v>
      </c>
      <c r="M113" s="18">
        <v>46286.96640046296</v>
      </c>
      <c r="N113" s="11" t="s">
        <v>63</v>
      </c>
      <c r="O113" s="11">
        <v>0.0</v>
      </c>
      <c r="P113" s="11" t="s">
        <v>86</v>
      </c>
      <c r="Q113" s="11" t="s">
        <v>1087</v>
      </c>
      <c r="R113" s="11"/>
      <c r="S113" s="11" t="s">
        <v>1088</v>
      </c>
      <c r="T113" s="11"/>
      <c r="U113" s="11" t="s">
        <v>134</v>
      </c>
      <c r="V113" s="11" t="s">
        <v>784</v>
      </c>
      <c r="W113" s="11"/>
      <c r="X113" s="11" t="s">
        <v>169</v>
      </c>
      <c r="Y113" s="11" t="s">
        <v>1089</v>
      </c>
      <c r="Z113" s="11">
        <v>5.6994494692E10</v>
      </c>
      <c r="AA113" s="11" t="s">
        <v>71</v>
      </c>
      <c r="AB113" s="11"/>
      <c r="AC113" s="11"/>
      <c r="AD113" s="18">
        <v>46286.96640046296</v>
      </c>
      <c r="AE113" s="11" t="s">
        <v>1090</v>
      </c>
      <c r="AF113" s="11" t="s">
        <v>1091</v>
      </c>
      <c r="AG113" s="18">
        <v>46287.09135416667</v>
      </c>
      <c r="AH113" s="18">
        <v>46287.09140046296</v>
      </c>
      <c r="AI113" s="11"/>
      <c r="AJ113" s="18">
        <v>46287.09140046296</v>
      </c>
      <c r="AK113" s="11">
        <v>18234.0</v>
      </c>
      <c r="AL113" s="21" t="s">
        <v>75</v>
      </c>
      <c r="AM113" s="16" t="s">
        <v>95</v>
      </c>
      <c r="AN113" s="14" t="s">
        <v>39</v>
      </c>
      <c r="AO113" s="23"/>
      <c r="AP113" s="16" t="s">
        <v>175</v>
      </c>
      <c r="AQ113" s="16">
        <v>239.0</v>
      </c>
      <c r="AR113" s="16"/>
      <c r="AS113" s="11" t="s">
        <v>789</v>
      </c>
      <c r="AT113" s="11" t="s">
        <v>1092</v>
      </c>
      <c r="AU113" s="11" t="s">
        <v>1087</v>
      </c>
      <c r="AV113" s="11">
        <v>2.6614167E7</v>
      </c>
      <c r="AW113" s="11" t="s">
        <v>79</v>
      </c>
      <c r="AX113" s="11">
        <v>5.6994494692E10</v>
      </c>
      <c r="AY113" s="11" t="s">
        <v>1089</v>
      </c>
      <c r="AZ113" s="24">
        <v>43445.0</v>
      </c>
      <c r="BA113" s="11" t="s">
        <v>1093</v>
      </c>
      <c r="BB113" s="11" t="s">
        <v>101</v>
      </c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</row>
    <row r="114" ht="19.5" customHeight="1">
      <c r="A114" s="10" t="b">
        <v>0</v>
      </c>
      <c r="B114" s="11"/>
      <c r="C114" s="13" t="s">
        <v>59</v>
      </c>
      <c r="D114" s="14" t="s">
        <v>60</v>
      </c>
      <c r="E114" s="11"/>
      <c r="F114" s="15" t="s">
        <v>4</v>
      </c>
      <c r="G114" s="16">
        <v>489.0</v>
      </c>
      <c r="H114" s="16"/>
      <c r="I114" s="16">
        <v>47215.0</v>
      </c>
      <c r="J114" s="11" t="s">
        <v>61</v>
      </c>
      <c r="K114" s="11" t="s">
        <v>62</v>
      </c>
      <c r="L114" s="18">
        <v>46286.98849537037</v>
      </c>
      <c r="M114" s="18">
        <v>46286.98856481481</v>
      </c>
      <c r="N114" s="11" t="s">
        <v>63</v>
      </c>
      <c r="O114" s="11">
        <v>0.0</v>
      </c>
      <c r="P114" s="11" t="s">
        <v>154</v>
      </c>
      <c r="Q114" s="11" t="s">
        <v>1094</v>
      </c>
      <c r="R114" s="11"/>
      <c r="S114" s="11" t="s">
        <v>1095</v>
      </c>
      <c r="T114" s="11">
        <v>255.0</v>
      </c>
      <c r="U114" s="11" t="s">
        <v>342</v>
      </c>
      <c r="V114" s="11" t="s">
        <v>68</v>
      </c>
      <c r="W114" s="11">
        <v>1627.0</v>
      </c>
      <c r="X114" s="11" t="s">
        <v>69</v>
      </c>
      <c r="Y114" s="11" t="s">
        <v>1096</v>
      </c>
      <c r="Z114" s="11">
        <v>5.49115604532E12</v>
      </c>
      <c r="AA114" s="11" t="s">
        <v>71</v>
      </c>
      <c r="AB114" s="11"/>
      <c r="AC114" s="11"/>
      <c r="AD114" s="18">
        <v>46286.98856481481</v>
      </c>
      <c r="AE114" s="11" t="s">
        <v>1097</v>
      </c>
      <c r="AF114" s="11" t="s">
        <v>1098</v>
      </c>
      <c r="AG114" s="18">
        <v>46287.11349537037</v>
      </c>
      <c r="AH114" s="18">
        <v>46287.11356481481</v>
      </c>
      <c r="AI114" s="11"/>
      <c r="AJ114" s="18">
        <v>46287.11356481481</v>
      </c>
      <c r="AK114" s="11">
        <v>18234.0</v>
      </c>
      <c r="AL114" s="21" t="s">
        <v>75</v>
      </c>
      <c r="AM114" s="16" t="s">
        <v>95</v>
      </c>
      <c r="AN114" s="14" t="s">
        <v>39</v>
      </c>
      <c r="AO114" s="23" t="s">
        <v>1099</v>
      </c>
      <c r="AP114" s="16" t="s">
        <v>76</v>
      </c>
      <c r="AQ114" s="16">
        <v>4031.0</v>
      </c>
      <c r="AR114" s="16"/>
      <c r="AS114" s="11" t="s">
        <v>374</v>
      </c>
      <c r="AT114" s="11" t="s">
        <v>1100</v>
      </c>
      <c r="AU114" s="11" t="s">
        <v>1094</v>
      </c>
      <c r="AV114" s="11">
        <v>5.657498E7</v>
      </c>
      <c r="AW114" s="11" t="s">
        <v>79</v>
      </c>
      <c r="AX114" s="11">
        <v>1.1155604532E11</v>
      </c>
      <c r="AY114" s="11" t="s">
        <v>1096</v>
      </c>
      <c r="AZ114" s="31">
        <v>42968.0</v>
      </c>
      <c r="BA114" s="11" t="s">
        <v>100</v>
      </c>
      <c r="BB114" s="11" t="s">
        <v>101</v>
      </c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</row>
    <row r="115" ht="19.5" customHeight="1">
      <c r="A115" s="10" t="b">
        <v>0</v>
      </c>
      <c r="B115" s="11"/>
      <c r="C115" s="13" t="s">
        <v>59</v>
      </c>
      <c r="D115" s="14" t="s">
        <v>60</v>
      </c>
      <c r="E115" s="11"/>
      <c r="F115" s="15" t="s">
        <v>4</v>
      </c>
      <c r="G115" s="16">
        <v>494.0</v>
      </c>
      <c r="H115" s="16"/>
      <c r="I115" s="16">
        <v>47220.0</v>
      </c>
      <c r="J115" s="11" t="s">
        <v>61</v>
      </c>
      <c r="K115" s="11" t="s">
        <v>62</v>
      </c>
      <c r="L115" s="18">
        <v>46286.99490740741</v>
      </c>
      <c r="M115" s="18">
        <v>46286.9949537037</v>
      </c>
      <c r="N115" s="11" t="s">
        <v>63</v>
      </c>
      <c r="O115" s="11">
        <v>0.0</v>
      </c>
      <c r="P115" s="11" t="s">
        <v>1101</v>
      </c>
      <c r="Q115" s="11" t="s">
        <v>1102</v>
      </c>
      <c r="R115" s="11"/>
      <c r="S115" s="11" t="s">
        <v>1103</v>
      </c>
      <c r="T115" s="11"/>
      <c r="U115" s="11" t="s">
        <v>501</v>
      </c>
      <c r="V115" s="11" t="s">
        <v>101</v>
      </c>
      <c r="W115" s="11">
        <v>2919.0</v>
      </c>
      <c r="X115" s="11" t="s">
        <v>69</v>
      </c>
      <c r="Y115" s="11" t="s">
        <v>1104</v>
      </c>
      <c r="Z115" s="11">
        <v>5.43415704004E11</v>
      </c>
      <c r="AA115" s="11" t="s">
        <v>71</v>
      </c>
      <c r="AB115" s="11"/>
      <c r="AC115" s="11"/>
      <c r="AD115" s="11"/>
      <c r="AE115" s="11" t="s">
        <v>1105</v>
      </c>
      <c r="AF115" s="11" t="s">
        <v>1106</v>
      </c>
      <c r="AG115" s="18">
        <v>46287.11990740741</v>
      </c>
      <c r="AH115" s="18">
        <v>46287.1199537037</v>
      </c>
      <c r="AI115" s="11"/>
      <c r="AJ115" s="11"/>
      <c r="AK115" s="11">
        <v>18234.0</v>
      </c>
      <c r="AL115" s="21" t="s">
        <v>75</v>
      </c>
      <c r="AM115" s="16"/>
      <c r="AN115" s="14" t="s">
        <v>39</v>
      </c>
      <c r="AO115" s="23" t="s">
        <v>1107</v>
      </c>
      <c r="AP115" s="16" t="s">
        <v>76</v>
      </c>
      <c r="AQ115" s="16">
        <v>3794.0</v>
      </c>
      <c r="AR115" s="16"/>
      <c r="AS115" s="11" t="s">
        <v>1108</v>
      </c>
      <c r="AT115" s="11" t="s">
        <v>876</v>
      </c>
      <c r="AU115" s="11" t="s">
        <v>1109</v>
      </c>
      <c r="AV115" s="11">
        <v>5.5133281E7</v>
      </c>
      <c r="AW115" s="11" t="s">
        <v>79</v>
      </c>
      <c r="AX115" s="11">
        <v>3.415704004E9</v>
      </c>
      <c r="AY115" s="11" t="s">
        <v>1104</v>
      </c>
      <c r="AZ115" s="24">
        <v>42265.0</v>
      </c>
      <c r="BA115" s="11" t="s">
        <v>973</v>
      </c>
      <c r="BB115" s="11" t="s">
        <v>101</v>
      </c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</row>
    <row r="116" ht="19.5" customHeight="1">
      <c r="A116" s="10" t="b">
        <v>0</v>
      </c>
      <c r="B116" s="11"/>
      <c r="C116" s="13" t="s">
        <v>60</v>
      </c>
      <c r="D116" s="14" t="s">
        <v>60</v>
      </c>
      <c r="E116" s="11"/>
      <c r="F116" s="15" t="s">
        <v>4</v>
      </c>
      <c r="G116" s="16">
        <v>502.0</v>
      </c>
      <c r="H116" s="16"/>
      <c r="I116" s="16">
        <v>47228.0</v>
      </c>
      <c r="J116" s="11" t="s">
        <v>61</v>
      </c>
      <c r="K116" s="11" t="s">
        <v>62</v>
      </c>
      <c r="L116" s="18">
        <v>46287.26881944444</v>
      </c>
      <c r="M116" s="18">
        <v>46287.26892361111</v>
      </c>
      <c r="N116" s="11" t="s">
        <v>63</v>
      </c>
      <c r="O116" s="11">
        <v>0.0</v>
      </c>
      <c r="P116" s="11" t="s">
        <v>1110</v>
      </c>
      <c r="Q116" s="11" t="s">
        <v>1111</v>
      </c>
      <c r="R116" s="11"/>
      <c r="S116" s="11" t="s">
        <v>1112</v>
      </c>
      <c r="T116" s="11" t="s">
        <v>1113</v>
      </c>
      <c r="U116" s="11" t="s">
        <v>362</v>
      </c>
      <c r="V116" s="11" t="s">
        <v>126</v>
      </c>
      <c r="W116" s="11">
        <v>1425.0</v>
      </c>
      <c r="X116" s="11" t="s">
        <v>69</v>
      </c>
      <c r="Y116" s="11" t="s">
        <v>1114</v>
      </c>
      <c r="Z116" s="11">
        <v>1.167930157E9</v>
      </c>
      <c r="AA116" s="11" t="s">
        <v>71</v>
      </c>
      <c r="AB116" s="11"/>
      <c r="AC116" s="11"/>
      <c r="AD116" s="11"/>
      <c r="AE116" s="11" t="s">
        <v>1115</v>
      </c>
      <c r="AF116" s="11" t="s">
        <v>1116</v>
      </c>
      <c r="AG116" s="18">
        <v>46287.39381944444</v>
      </c>
      <c r="AH116" s="18">
        <v>46287.39392361111</v>
      </c>
      <c r="AI116" s="11"/>
      <c r="AJ116" s="11"/>
      <c r="AK116" s="11">
        <v>18234.0</v>
      </c>
      <c r="AL116" s="21" t="s">
        <v>75</v>
      </c>
      <c r="AM116" s="16"/>
      <c r="AN116" s="14" t="s">
        <v>39</v>
      </c>
      <c r="AO116" s="23" t="s">
        <v>1117</v>
      </c>
      <c r="AP116" s="16" t="s">
        <v>76</v>
      </c>
      <c r="AQ116" s="16">
        <v>4230.0</v>
      </c>
      <c r="AR116" s="16"/>
      <c r="AS116" s="11" t="s">
        <v>1068</v>
      </c>
      <c r="AT116" s="11" t="s">
        <v>929</v>
      </c>
      <c r="AU116" s="11" t="s">
        <v>1111</v>
      </c>
      <c r="AV116" s="11">
        <v>5.3336217E7</v>
      </c>
      <c r="AW116" s="11" t="s">
        <v>79</v>
      </c>
      <c r="AX116" s="11">
        <v>1.167930157E9</v>
      </c>
      <c r="AY116" s="11" t="s">
        <v>1114</v>
      </c>
      <c r="AZ116" s="24">
        <v>41453.0</v>
      </c>
      <c r="BA116" s="11" t="s">
        <v>144</v>
      </c>
      <c r="BB116" s="11" t="s">
        <v>1118</v>
      </c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</row>
    <row r="117" ht="19.5" customHeight="1">
      <c r="A117" s="10" t="b">
        <v>0</v>
      </c>
      <c r="B117" s="11"/>
      <c r="C117" s="13" t="s">
        <v>60</v>
      </c>
      <c r="D117" s="14" t="s">
        <v>60</v>
      </c>
      <c r="E117" s="11"/>
      <c r="F117" s="15" t="s">
        <v>4</v>
      </c>
      <c r="G117" s="16">
        <v>503.0</v>
      </c>
      <c r="H117" s="16"/>
      <c r="I117" s="16">
        <v>47229.0</v>
      </c>
      <c r="J117" s="11" t="s">
        <v>61</v>
      </c>
      <c r="K117" s="11" t="s">
        <v>62</v>
      </c>
      <c r="L117" s="18">
        <v>46287.275555555556</v>
      </c>
      <c r="M117" s="18">
        <v>46287.27559027778</v>
      </c>
      <c r="N117" s="11" t="s">
        <v>63</v>
      </c>
      <c r="O117" s="11">
        <v>0.0</v>
      </c>
      <c r="P117" s="11" t="s">
        <v>1110</v>
      </c>
      <c r="Q117" s="11" t="s">
        <v>1111</v>
      </c>
      <c r="R117" s="11"/>
      <c r="S117" s="11" t="s">
        <v>1112</v>
      </c>
      <c r="T117" s="11" t="s">
        <v>1113</v>
      </c>
      <c r="U117" s="11" t="s">
        <v>362</v>
      </c>
      <c r="V117" s="11" t="s">
        <v>126</v>
      </c>
      <c r="W117" s="11">
        <v>1425.0</v>
      </c>
      <c r="X117" s="11" t="s">
        <v>69</v>
      </c>
      <c r="Y117" s="11" t="s">
        <v>1114</v>
      </c>
      <c r="Z117" s="11">
        <v>1.167930157E9</v>
      </c>
      <c r="AA117" s="11" t="s">
        <v>71</v>
      </c>
      <c r="AB117" s="11"/>
      <c r="AC117" s="11"/>
      <c r="AD117" s="11"/>
      <c r="AE117" s="11" t="s">
        <v>1119</v>
      </c>
      <c r="AF117" s="11" t="s">
        <v>1120</v>
      </c>
      <c r="AG117" s="18">
        <v>46287.400555555556</v>
      </c>
      <c r="AH117" s="18">
        <v>46287.40059027778</v>
      </c>
      <c r="AI117" s="11"/>
      <c r="AJ117" s="11"/>
      <c r="AK117" s="11">
        <v>18234.0</v>
      </c>
      <c r="AL117" s="21" t="s">
        <v>75</v>
      </c>
      <c r="AM117" s="16"/>
      <c r="AN117" s="14" t="s">
        <v>39</v>
      </c>
      <c r="AO117" s="23" t="s">
        <v>1121</v>
      </c>
      <c r="AP117" s="16" t="s">
        <v>76</v>
      </c>
      <c r="AQ117" s="16">
        <v>4273.0</v>
      </c>
      <c r="AR117" s="16"/>
      <c r="AS117" s="11" t="s">
        <v>1068</v>
      </c>
      <c r="AT117" s="11" t="s">
        <v>1029</v>
      </c>
      <c r="AU117" s="11" t="s">
        <v>1111</v>
      </c>
      <c r="AV117" s="11">
        <v>5.568883E7</v>
      </c>
      <c r="AW117" s="11" t="s">
        <v>79</v>
      </c>
      <c r="AX117" s="11">
        <v>1.167930157E9</v>
      </c>
      <c r="AY117" s="11" t="s">
        <v>1114</v>
      </c>
      <c r="AZ117" s="24">
        <v>42527.0</v>
      </c>
      <c r="BA117" s="11" t="s">
        <v>144</v>
      </c>
      <c r="BB117" s="11" t="s">
        <v>349</v>
      </c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</row>
    <row r="118" ht="19.5" customHeight="1">
      <c r="A118" s="10" t="b">
        <v>0</v>
      </c>
      <c r="B118" s="11"/>
      <c r="C118" s="13" t="s">
        <v>60</v>
      </c>
      <c r="D118" s="14" t="s">
        <v>60</v>
      </c>
      <c r="E118" s="11"/>
      <c r="F118" s="15" t="s">
        <v>4</v>
      </c>
      <c r="G118" s="16">
        <v>507.0</v>
      </c>
      <c r="H118" s="16"/>
      <c r="I118" s="16">
        <v>47233.0</v>
      </c>
      <c r="J118" s="11" t="s">
        <v>61</v>
      </c>
      <c r="K118" s="11" t="s">
        <v>62</v>
      </c>
      <c r="L118" s="18">
        <v>46287.34746527778</v>
      </c>
      <c r="M118" s="18">
        <v>46287.34752314815</v>
      </c>
      <c r="N118" s="11" t="s">
        <v>63</v>
      </c>
      <c r="O118" s="11">
        <v>0.0</v>
      </c>
      <c r="P118" s="11" t="s">
        <v>332</v>
      </c>
      <c r="Q118" s="11" t="s">
        <v>1122</v>
      </c>
      <c r="R118" s="11"/>
      <c r="S118" s="11" t="s">
        <v>1123</v>
      </c>
      <c r="T118" s="11" t="s">
        <v>1124</v>
      </c>
      <c r="U118" s="11" t="s">
        <v>306</v>
      </c>
      <c r="V118" s="11" t="s">
        <v>68</v>
      </c>
      <c r="W118" s="11">
        <v>1621.0</v>
      </c>
      <c r="X118" s="11" t="s">
        <v>69</v>
      </c>
      <c r="Y118" s="11" t="s">
        <v>1125</v>
      </c>
      <c r="Z118" s="11">
        <v>1.167097088E9</v>
      </c>
      <c r="AA118" s="11" t="s">
        <v>71</v>
      </c>
      <c r="AB118" s="11"/>
      <c r="AC118" s="11"/>
      <c r="AD118" s="18">
        <v>46287.34752314815</v>
      </c>
      <c r="AE118" s="11" t="s">
        <v>1126</v>
      </c>
      <c r="AF118" s="11" t="s">
        <v>1127</v>
      </c>
      <c r="AG118" s="18">
        <v>46287.47246527778</v>
      </c>
      <c r="AH118" s="18">
        <v>46287.47252314815</v>
      </c>
      <c r="AI118" s="11"/>
      <c r="AJ118" s="18">
        <v>46287.47252314815</v>
      </c>
      <c r="AK118" s="11">
        <v>18234.0</v>
      </c>
      <c r="AL118" s="21" t="s">
        <v>75</v>
      </c>
      <c r="AM118" s="16"/>
      <c r="AN118" s="16"/>
      <c r="AO118" s="23"/>
      <c r="AP118" s="16" t="s">
        <v>76</v>
      </c>
      <c r="AQ118" s="16">
        <v>3847.0</v>
      </c>
      <c r="AR118" s="16"/>
      <c r="AS118" s="11" t="s">
        <v>269</v>
      </c>
      <c r="AT118" s="11" t="s">
        <v>260</v>
      </c>
      <c r="AU118" s="11" t="s">
        <v>1122</v>
      </c>
      <c r="AV118" s="11">
        <v>5.345159E7</v>
      </c>
      <c r="AW118" s="11" t="s">
        <v>99</v>
      </c>
      <c r="AX118" s="11">
        <v>1.167097088E9</v>
      </c>
      <c r="AY118" s="11" t="s">
        <v>1125</v>
      </c>
      <c r="AZ118" s="24">
        <v>41539.0</v>
      </c>
      <c r="BA118" s="11" t="s">
        <v>956</v>
      </c>
      <c r="BB118" s="11" t="s">
        <v>101</v>
      </c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</row>
    <row r="119" ht="19.5" customHeight="1">
      <c r="A119" s="10" t="b">
        <v>0</v>
      </c>
      <c r="B119" s="11"/>
      <c r="C119" s="13" t="s">
        <v>59</v>
      </c>
      <c r="D119" s="14" t="s">
        <v>60</v>
      </c>
      <c r="E119" s="11"/>
      <c r="F119" s="15" t="s">
        <v>4</v>
      </c>
      <c r="G119" s="16">
        <v>508.0</v>
      </c>
      <c r="H119" s="16"/>
      <c r="I119" s="16">
        <v>47234.0</v>
      </c>
      <c r="J119" s="11" t="s">
        <v>61</v>
      </c>
      <c r="K119" s="11" t="s">
        <v>62</v>
      </c>
      <c r="L119" s="18">
        <v>46287.35539351852</v>
      </c>
      <c r="M119" s="18">
        <v>46287.355462962965</v>
      </c>
      <c r="N119" s="11" t="s">
        <v>63</v>
      </c>
      <c r="O119" s="11">
        <v>0.0</v>
      </c>
      <c r="P119" s="11" t="s">
        <v>154</v>
      </c>
      <c r="Q119" s="11" t="s">
        <v>1128</v>
      </c>
      <c r="R119" s="11"/>
      <c r="S119" s="11" t="s">
        <v>1129</v>
      </c>
      <c r="T119" s="11"/>
      <c r="U119" s="11" t="s">
        <v>988</v>
      </c>
      <c r="V119" s="11" t="s">
        <v>126</v>
      </c>
      <c r="W119" s="11">
        <v>7600.0</v>
      </c>
      <c r="X119" s="11" t="s">
        <v>69</v>
      </c>
      <c r="Y119" s="11" t="s">
        <v>1130</v>
      </c>
      <c r="Z119" s="11">
        <v>2.234378899E9</v>
      </c>
      <c r="AA119" s="11" t="s">
        <v>71</v>
      </c>
      <c r="AB119" s="11"/>
      <c r="AC119" s="11"/>
      <c r="AD119" s="18">
        <v>46287.355462962965</v>
      </c>
      <c r="AE119" s="11" t="s">
        <v>1131</v>
      </c>
      <c r="AF119" s="11" t="s">
        <v>1132</v>
      </c>
      <c r="AG119" s="18">
        <v>46287.48039351852</v>
      </c>
      <c r="AH119" s="18">
        <v>46287.480462962965</v>
      </c>
      <c r="AI119" s="11"/>
      <c r="AJ119" s="18">
        <v>46287.480462962965</v>
      </c>
      <c r="AK119" s="11">
        <v>18234.0</v>
      </c>
      <c r="AL119" s="21" t="s">
        <v>75</v>
      </c>
      <c r="AM119" s="16"/>
      <c r="AN119" s="16"/>
      <c r="AO119" s="23"/>
      <c r="AP119" s="16" t="s">
        <v>76</v>
      </c>
      <c r="AQ119" s="16">
        <v>3991.0</v>
      </c>
      <c r="AR119" s="16"/>
      <c r="AS119" s="11" t="s">
        <v>77</v>
      </c>
      <c r="AT119" s="11" t="s">
        <v>1133</v>
      </c>
      <c r="AU119" s="11" t="s">
        <v>1128</v>
      </c>
      <c r="AV119" s="11">
        <v>5.4065289E7</v>
      </c>
      <c r="AW119" s="11" t="s">
        <v>99</v>
      </c>
      <c r="AX119" s="11">
        <v>2.234378899E9</v>
      </c>
      <c r="AY119" s="11" t="s">
        <v>1130</v>
      </c>
      <c r="AZ119" s="24">
        <v>41820.0</v>
      </c>
      <c r="BA119" s="11" t="s">
        <v>1077</v>
      </c>
      <c r="BB119" s="11" t="s">
        <v>101</v>
      </c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</row>
    <row r="120" ht="19.5" customHeight="1">
      <c r="A120" s="10" t="b">
        <v>0</v>
      </c>
      <c r="B120" s="11"/>
      <c r="C120" s="13" t="s">
        <v>60</v>
      </c>
      <c r="D120" s="14" t="s">
        <v>60</v>
      </c>
      <c r="E120" s="11"/>
      <c r="F120" s="15" t="s">
        <v>4</v>
      </c>
      <c r="G120" s="16">
        <v>510.0</v>
      </c>
      <c r="H120" s="16"/>
      <c r="I120" s="16">
        <v>47236.0</v>
      </c>
      <c r="J120" s="11" t="s">
        <v>61</v>
      </c>
      <c r="K120" s="11" t="s">
        <v>62</v>
      </c>
      <c r="L120" s="18">
        <v>46287.38245370371</v>
      </c>
      <c r="M120" s="18">
        <v>46287.38251157408</v>
      </c>
      <c r="N120" s="11" t="s">
        <v>63</v>
      </c>
      <c r="O120" s="11">
        <v>0.0</v>
      </c>
      <c r="P120" s="11" t="s">
        <v>1134</v>
      </c>
      <c r="Q120" s="11" t="s">
        <v>1135</v>
      </c>
      <c r="R120" s="11"/>
      <c r="S120" s="11" t="s">
        <v>1136</v>
      </c>
      <c r="T120" s="11"/>
      <c r="U120" s="11" t="s">
        <v>1137</v>
      </c>
      <c r="V120" s="11" t="s">
        <v>68</v>
      </c>
      <c r="W120" s="11">
        <v>1678.0</v>
      </c>
      <c r="X120" s="11" t="s">
        <v>69</v>
      </c>
      <c r="Y120" s="11" t="s">
        <v>1138</v>
      </c>
      <c r="Z120" s="11">
        <v>1.169086827E9</v>
      </c>
      <c r="AA120" s="11" t="s">
        <v>71</v>
      </c>
      <c r="AB120" s="11"/>
      <c r="AC120" s="11"/>
      <c r="AD120" s="18">
        <v>46287.38251157408</v>
      </c>
      <c r="AE120" s="11" t="s">
        <v>1139</v>
      </c>
      <c r="AF120" s="11" t="s">
        <v>1140</v>
      </c>
      <c r="AG120" s="18">
        <v>46287.50745370371</v>
      </c>
      <c r="AH120" s="18">
        <v>46287.50751157408</v>
      </c>
      <c r="AI120" s="11"/>
      <c r="AJ120" s="18">
        <v>46287.50751157408</v>
      </c>
      <c r="AK120" s="11">
        <v>18234.0</v>
      </c>
      <c r="AL120" s="21" t="s">
        <v>75</v>
      </c>
      <c r="AM120" s="16"/>
      <c r="AN120" s="16"/>
      <c r="AO120" s="23"/>
      <c r="AP120" s="16" t="s">
        <v>76</v>
      </c>
      <c r="AQ120" s="16">
        <v>4361.0</v>
      </c>
      <c r="AR120" s="16"/>
      <c r="AS120" s="11" t="s">
        <v>269</v>
      </c>
      <c r="AT120" s="10" t="s">
        <v>1141</v>
      </c>
      <c r="AU120" s="10" t="s">
        <v>1142</v>
      </c>
      <c r="AV120" s="11">
        <v>5.4625867E7</v>
      </c>
      <c r="AW120" s="11" t="s">
        <v>99</v>
      </c>
      <c r="AX120" s="11">
        <v>1.169086827E9</v>
      </c>
      <c r="AY120" s="11" t="s">
        <v>1138</v>
      </c>
      <c r="AZ120" s="24">
        <v>42060.0</v>
      </c>
      <c r="BA120" s="11" t="s">
        <v>144</v>
      </c>
      <c r="BB120" s="11" t="s">
        <v>81</v>
      </c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</row>
    <row r="121" ht="19.5" customHeight="1">
      <c r="A121" s="10" t="b">
        <v>0</v>
      </c>
      <c r="B121" s="11"/>
      <c r="C121" s="13" t="s">
        <v>59</v>
      </c>
      <c r="D121" s="14" t="s">
        <v>60</v>
      </c>
      <c r="E121" s="11"/>
      <c r="F121" s="15" t="s">
        <v>4</v>
      </c>
      <c r="G121" s="16">
        <v>512.0</v>
      </c>
      <c r="H121" s="16"/>
      <c r="I121" s="16">
        <v>47238.0</v>
      </c>
      <c r="J121" s="11" t="s">
        <v>61</v>
      </c>
      <c r="K121" s="11" t="s">
        <v>62</v>
      </c>
      <c r="L121" s="18">
        <v>46287.38959490741</v>
      </c>
      <c r="M121" s="18">
        <v>46287.389652777776</v>
      </c>
      <c r="N121" s="11" t="s">
        <v>63</v>
      </c>
      <c r="O121" s="11">
        <v>0.0</v>
      </c>
      <c r="P121" s="11" t="s">
        <v>1143</v>
      </c>
      <c r="Q121" s="11" t="s">
        <v>1144</v>
      </c>
      <c r="R121" s="11"/>
      <c r="S121" s="11" t="s">
        <v>1145</v>
      </c>
      <c r="T121" s="11">
        <v>4015.0</v>
      </c>
      <c r="U121" s="11" t="s">
        <v>1146</v>
      </c>
      <c r="V121" s="11" t="s">
        <v>1147</v>
      </c>
      <c r="W121" s="11">
        <v>3100.0</v>
      </c>
      <c r="X121" s="11" t="s">
        <v>69</v>
      </c>
      <c r="Y121" s="11" t="s">
        <v>1148</v>
      </c>
      <c r="Z121" s="11">
        <v>3.435004422E9</v>
      </c>
      <c r="AA121" s="11" t="s">
        <v>71</v>
      </c>
      <c r="AB121" s="11"/>
      <c r="AC121" s="11"/>
      <c r="AD121" s="18">
        <v>46287.389652777776</v>
      </c>
      <c r="AE121" s="11" t="s">
        <v>1149</v>
      </c>
      <c r="AF121" s="11" t="s">
        <v>1150</v>
      </c>
      <c r="AG121" s="18">
        <v>46287.51459490741</v>
      </c>
      <c r="AH121" s="18">
        <v>46287.514652777776</v>
      </c>
      <c r="AI121" s="11"/>
      <c r="AJ121" s="18">
        <v>46287.514652777776</v>
      </c>
      <c r="AK121" s="11">
        <v>18234.0</v>
      </c>
      <c r="AL121" s="21" t="s">
        <v>75</v>
      </c>
      <c r="AM121" s="16" t="s">
        <v>95</v>
      </c>
      <c r="AN121" s="16"/>
      <c r="AO121" s="23"/>
      <c r="AP121" s="16" t="s">
        <v>76</v>
      </c>
      <c r="AQ121" s="16">
        <v>3491.0</v>
      </c>
      <c r="AR121" s="16"/>
      <c r="AS121" s="11" t="s">
        <v>1151</v>
      </c>
      <c r="AT121" s="11" t="s">
        <v>1152</v>
      </c>
      <c r="AU121" s="11" t="s">
        <v>1153</v>
      </c>
      <c r="AV121" s="11">
        <v>5.5979422E7</v>
      </c>
      <c r="AW121" s="11" t="s">
        <v>99</v>
      </c>
      <c r="AX121" s="11">
        <v>3.435004422E9</v>
      </c>
      <c r="AY121" s="11" t="s">
        <v>1148</v>
      </c>
      <c r="AZ121" s="24">
        <v>42741.0</v>
      </c>
      <c r="BA121" s="11" t="s">
        <v>80</v>
      </c>
      <c r="BB121" s="11" t="s">
        <v>101</v>
      </c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</row>
    <row r="122" ht="19.5" customHeight="1">
      <c r="A122" s="10" t="b">
        <v>0</v>
      </c>
      <c r="B122" s="11"/>
      <c r="C122" s="13" t="s">
        <v>60</v>
      </c>
      <c r="D122" s="14" t="s">
        <v>60</v>
      </c>
      <c r="E122" s="11"/>
      <c r="F122" s="15" t="s">
        <v>4</v>
      </c>
      <c r="G122" s="16">
        <v>513.0</v>
      </c>
      <c r="H122" s="16"/>
      <c r="I122" s="16">
        <v>47239.0</v>
      </c>
      <c r="J122" s="11" t="s">
        <v>61</v>
      </c>
      <c r="K122" s="11" t="s">
        <v>62</v>
      </c>
      <c r="L122" s="18">
        <v>46287.39241898148</v>
      </c>
      <c r="M122" s="18">
        <v>46287.392476851855</v>
      </c>
      <c r="N122" s="11" t="s">
        <v>63</v>
      </c>
      <c r="O122" s="11">
        <v>0.0</v>
      </c>
      <c r="P122" s="11" t="s">
        <v>1154</v>
      </c>
      <c r="Q122" s="11" t="s">
        <v>1155</v>
      </c>
      <c r="R122" s="11"/>
      <c r="S122" s="11" t="s">
        <v>1156</v>
      </c>
      <c r="T122" s="11">
        <v>449.0</v>
      </c>
      <c r="U122" s="11" t="s">
        <v>276</v>
      </c>
      <c r="V122" s="11" t="s">
        <v>126</v>
      </c>
      <c r="W122" s="11">
        <v>1424.0</v>
      </c>
      <c r="X122" s="11" t="s">
        <v>69</v>
      </c>
      <c r="Y122" s="11" t="s">
        <v>1157</v>
      </c>
      <c r="Z122" s="11">
        <v>1.159890341E9</v>
      </c>
      <c r="AA122" s="11" t="s">
        <v>71</v>
      </c>
      <c r="AB122" s="11"/>
      <c r="AC122" s="11"/>
      <c r="AD122" s="18">
        <v>46287.392476851855</v>
      </c>
      <c r="AE122" s="11" t="s">
        <v>1158</v>
      </c>
      <c r="AF122" s="11" t="s">
        <v>1159</v>
      </c>
      <c r="AG122" s="18">
        <v>46287.51741898148</v>
      </c>
      <c r="AH122" s="18">
        <v>46287.517476851855</v>
      </c>
      <c r="AI122" s="11"/>
      <c r="AJ122" s="18">
        <v>46287.517476851855</v>
      </c>
      <c r="AK122" s="11">
        <v>18234.0</v>
      </c>
      <c r="AL122" s="21" t="s">
        <v>75</v>
      </c>
      <c r="AM122" s="16"/>
      <c r="AN122" s="16"/>
      <c r="AO122" s="23" t="s">
        <v>1160</v>
      </c>
      <c r="AP122" s="16" t="s">
        <v>76</v>
      </c>
      <c r="AQ122" s="16">
        <v>3990.0</v>
      </c>
      <c r="AR122" s="16"/>
      <c r="AS122" s="11" t="s">
        <v>269</v>
      </c>
      <c r="AT122" s="11" t="s">
        <v>1161</v>
      </c>
      <c r="AU122" s="11" t="s">
        <v>1155</v>
      </c>
      <c r="AV122" s="11">
        <v>5.4700917E7</v>
      </c>
      <c r="AW122" s="11" t="s">
        <v>99</v>
      </c>
      <c r="AX122" s="11">
        <v>1.159890341E9</v>
      </c>
      <c r="AY122" s="11" t="s">
        <v>1157</v>
      </c>
      <c r="AZ122" s="24">
        <v>42097.0</v>
      </c>
      <c r="BA122" s="11" t="s">
        <v>1162</v>
      </c>
      <c r="BB122" s="11" t="s">
        <v>101</v>
      </c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</row>
    <row r="123" ht="19.5" customHeight="1">
      <c r="A123" s="10" t="b">
        <v>0</v>
      </c>
      <c r="B123" s="11"/>
      <c r="C123" s="13" t="s">
        <v>60</v>
      </c>
      <c r="D123" s="14" t="s">
        <v>60</v>
      </c>
      <c r="E123" s="11"/>
      <c r="F123" s="15" t="s">
        <v>4</v>
      </c>
      <c r="G123" s="16">
        <v>520.0</v>
      </c>
      <c r="H123" s="16"/>
      <c r="I123" s="16">
        <v>47246.0</v>
      </c>
      <c r="J123" s="11" t="s">
        <v>61</v>
      </c>
      <c r="K123" s="11" t="s">
        <v>62</v>
      </c>
      <c r="L123" s="18">
        <v>46287.42721064815</v>
      </c>
      <c r="M123" s="18">
        <v>46287.42726851852</v>
      </c>
      <c r="N123" s="11" t="s">
        <v>63</v>
      </c>
      <c r="O123" s="11">
        <v>0.0</v>
      </c>
      <c r="P123" s="11" t="s">
        <v>1163</v>
      </c>
      <c r="Q123" s="11" t="s">
        <v>1164</v>
      </c>
      <c r="R123" s="11"/>
      <c r="S123" s="11" t="s">
        <v>1165</v>
      </c>
      <c r="T123" s="11"/>
      <c r="U123" s="11" t="s">
        <v>1166</v>
      </c>
      <c r="V123" s="11" t="s">
        <v>68</v>
      </c>
      <c r="W123" s="11">
        <v>1623.0</v>
      </c>
      <c r="X123" s="11" t="s">
        <v>69</v>
      </c>
      <c r="Y123" s="11" t="s">
        <v>1167</v>
      </c>
      <c r="Z123" s="11">
        <v>5.41551513138E11</v>
      </c>
      <c r="AA123" s="11" t="s">
        <v>71</v>
      </c>
      <c r="AB123" s="11"/>
      <c r="AC123" s="11"/>
      <c r="AD123" s="11"/>
      <c r="AE123" s="11" t="s">
        <v>1168</v>
      </c>
      <c r="AF123" s="11" t="s">
        <v>1169</v>
      </c>
      <c r="AG123" s="18">
        <v>46287.55221064815</v>
      </c>
      <c r="AH123" s="18">
        <v>46287.55226851852</v>
      </c>
      <c r="AI123" s="11"/>
      <c r="AJ123" s="11"/>
      <c r="AK123" s="11">
        <v>18234.0</v>
      </c>
      <c r="AL123" s="21" t="s">
        <v>75</v>
      </c>
      <c r="AM123" s="16"/>
      <c r="AN123" s="14" t="s">
        <v>39</v>
      </c>
      <c r="AO123" s="23" t="s">
        <v>1170</v>
      </c>
      <c r="AP123" s="16" t="s">
        <v>76</v>
      </c>
      <c r="AQ123" s="16">
        <v>3968.0</v>
      </c>
      <c r="AR123" s="16"/>
      <c r="AS123" s="11" t="s">
        <v>298</v>
      </c>
      <c r="AT123" s="11" t="s">
        <v>444</v>
      </c>
      <c r="AU123" s="11" t="s">
        <v>1164</v>
      </c>
      <c r="AV123" s="11">
        <v>5.3771673E7</v>
      </c>
      <c r="AW123" s="11" t="s">
        <v>79</v>
      </c>
      <c r="AX123" s="11">
        <v>1.151513138E9</v>
      </c>
      <c r="AY123" s="11" t="s">
        <v>1167</v>
      </c>
      <c r="AZ123" s="24">
        <v>41737.0</v>
      </c>
      <c r="BA123" s="11" t="s">
        <v>144</v>
      </c>
      <c r="BB123" s="11" t="s">
        <v>101</v>
      </c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</row>
    <row r="124" ht="19.5" customHeight="1">
      <c r="A124" s="10" t="b">
        <v>0</v>
      </c>
      <c r="B124" s="11"/>
      <c r="C124" s="13" t="s">
        <v>60</v>
      </c>
      <c r="D124" s="14" t="s">
        <v>60</v>
      </c>
      <c r="E124" s="11"/>
      <c r="F124" s="15" t="s">
        <v>4</v>
      </c>
      <c r="G124" s="16">
        <v>528.0</v>
      </c>
      <c r="H124" s="16"/>
      <c r="I124" s="16">
        <v>47254.0</v>
      </c>
      <c r="J124" s="11" t="s">
        <v>61</v>
      </c>
      <c r="K124" s="11" t="s">
        <v>62</v>
      </c>
      <c r="L124" s="18">
        <v>46287.478055555555</v>
      </c>
      <c r="M124" s="18">
        <v>46287.478101851855</v>
      </c>
      <c r="N124" s="11" t="s">
        <v>63</v>
      </c>
      <c r="O124" s="11">
        <v>0.0</v>
      </c>
      <c r="P124" s="11" t="s">
        <v>181</v>
      </c>
      <c r="Q124" s="11" t="s">
        <v>1171</v>
      </c>
      <c r="R124" s="11"/>
      <c r="S124" s="11" t="s">
        <v>1172</v>
      </c>
      <c r="T124" s="11" t="s">
        <v>1173</v>
      </c>
      <c r="U124" s="11" t="s">
        <v>158</v>
      </c>
      <c r="V124" s="11" t="s">
        <v>68</v>
      </c>
      <c r="W124" s="11">
        <v>1210.0</v>
      </c>
      <c r="X124" s="11" t="s">
        <v>69</v>
      </c>
      <c r="Y124" s="11" t="s">
        <v>1174</v>
      </c>
      <c r="Z124" s="11">
        <v>5.491159119062E12</v>
      </c>
      <c r="AA124" s="11" t="s">
        <v>71</v>
      </c>
      <c r="AB124" s="11"/>
      <c r="AC124" s="11"/>
      <c r="AD124" s="18">
        <v>46287.478101851855</v>
      </c>
      <c r="AE124" s="11" t="s">
        <v>1175</v>
      </c>
      <c r="AF124" s="11" t="s">
        <v>1176</v>
      </c>
      <c r="AG124" s="18">
        <v>46287.603055555555</v>
      </c>
      <c r="AH124" s="18">
        <v>46287.603101851855</v>
      </c>
      <c r="AI124" s="11"/>
      <c r="AJ124" s="18">
        <v>46287.603101851855</v>
      </c>
      <c r="AK124" s="11">
        <v>18234.0</v>
      </c>
      <c r="AL124" s="21" t="s">
        <v>75</v>
      </c>
      <c r="AM124" s="16" t="s">
        <v>95</v>
      </c>
      <c r="AN124" s="14" t="s">
        <v>39</v>
      </c>
      <c r="AO124" s="23" t="s">
        <v>1177</v>
      </c>
      <c r="AP124" s="16" t="s">
        <v>76</v>
      </c>
      <c r="AQ124" s="16">
        <v>3370.0</v>
      </c>
      <c r="AR124" s="16"/>
      <c r="AS124" s="11" t="s">
        <v>110</v>
      </c>
      <c r="AT124" s="11" t="s">
        <v>1178</v>
      </c>
      <c r="AU124" s="11" t="s">
        <v>1171</v>
      </c>
      <c r="AV124" s="11">
        <v>5.6277462E7</v>
      </c>
      <c r="AW124" s="11" t="s">
        <v>79</v>
      </c>
      <c r="AX124" s="11">
        <v>5.491159119062E12</v>
      </c>
      <c r="AY124" s="11" t="s">
        <v>1174</v>
      </c>
      <c r="AZ124" s="31">
        <v>42833.0</v>
      </c>
      <c r="BA124" s="11" t="s">
        <v>966</v>
      </c>
      <c r="BB124" s="11" t="s">
        <v>81</v>
      </c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</row>
    <row r="125" ht="19.5" customHeight="1">
      <c r="A125" s="10" t="b">
        <v>0</v>
      </c>
      <c r="B125" s="11"/>
      <c r="C125" s="13" t="s">
        <v>60</v>
      </c>
      <c r="D125" s="14" t="s">
        <v>60</v>
      </c>
      <c r="E125" s="11"/>
      <c r="F125" s="15" t="s">
        <v>4</v>
      </c>
      <c r="G125" s="16">
        <v>535.0</v>
      </c>
      <c r="H125" s="16"/>
      <c r="I125" s="16">
        <v>47261.0</v>
      </c>
      <c r="J125" s="11" t="s">
        <v>61</v>
      </c>
      <c r="K125" s="11" t="s">
        <v>62</v>
      </c>
      <c r="L125" s="18">
        <v>46287.516805555555</v>
      </c>
      <c r="M125" s="18">
        <v>46287.516805555555</v>
      </c>
      <c r="N125" s="11" t="s">
        <v>63</v>
      </c>
      <c r="O125" s="11">
        <v>0.0</v>
      </c>
      <c r="P125" s="11" t="s">
        <v>1179</v>
      </c>
      <c r="Q125" s="11" t="s">
        <v>1180</v>
      </c>
      <c r="R125" s="11"/>
      <c r="S125" s="11" t="s">
        <v>1181</v>
      </c>
      <c r="T125" s="11"/>
      <c r="U125" s="11" t="s">
        <v>493</v>
      </c>
      <c r="V125" s="11" t="s">
        <v>68</v>
      </c>
      <c r="W125" s="11">
        <v>1609.0</v>
      </c>
      <c r="X125" s="11" t="s">
        <v>69</v>
      </c>
      <c r="Y125" s="11" t="s">
        <v>1182</v>
      </c>
      <c r="Z125" s="11">
        <v>1.133359265E9</v>
      </c>
      <c r="AA125" s="11" t="s">
        <v>645</v>
      </c>
      <c r="AB125" s="11"/>
      <c r="AC125" s="11"/>
      <c r="AD125" s="11"/>
      <c r="AE125" s="11" t="s">
        <v>1183</v>
      </c>
      <c r="AF125" s="11" t="s">
        <v>1184</v>
      </c>
      <c r="AG125" s="18">
        <v>46287.641805555555</v>
      </c>
      <c r="AH125" s="18">
        <v>46287.641805555555</v>
      </c>
      <c r="AI125" s="11"/>
      <c r="AJ125" s="11"/>
      <c r="AK125" s="11">
        <v>18234.0</v>
      </c>
      <c r="AL125" s="21" t="s">
        <v>75</v>
      </c>
      <c r="AM125" s="16"/>
      <c r="AN125" s="16"/>
      <c r="AO125" s="23" t="s">
        <v>1185</v>
      </c>
      <c r="AP125" s="16" t="s">
        <v>76</v>
      </c>
      <c r="AQ125" s="16">
        <v>3780.0</v>
      </c>
      <c r="AR125" s="16"/>
      <c r="AS125" s="11" t="s">
        <v>668</v>
      </c>
      <c r="AT125" s="11" t="s">
        <v>1186</v>
      </c>
      <c r="AU125" s="11" t="s">
        <v>1187</v>
      </c>
      <c r="AV125" s="11">
        <v>5.314988E7</v>
      </c>
      <c r="AW125" s="11" t="s">
        <v>99</v>
      </c>
      <c r="AX125" s="11">
        <v>1.133359265E9</v>
      </c>
      <c r="AY125" s="11" t="s">
        <v>1182</v>
      </c>
      <c r="AZ125" s="24">
        <v>41399.0</v>
      </c>
      <c r="BA125" s="11" t="s">
        <v>252</v>
      </c>
      <c r="BB125" s="11" t="s">
        <v>81</v>
      </c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</row>
    <row r="126" ht="19.5" customHeight="1">
      <c r="A126" s="10" t="b">
        <v>0</v>
      </c>
      <c r="B126" s="11"/>
      <c r="C126" s="13" t="s">
        <v>60</v>
      </c>
      <c r="D126" s="14" t="s">
        <v>60</v>
      </c>
      <c r="E126" s="11"/>
      <c r="F126" s="15" t="s">
        <v>4</v>
      </c>
      <c r="G126" s="16">
        <v>540.0</v>
      </c>
      <c r="H126" s="16"/>
      <c r="I126" s="16">
        <v>47266.0</v>
      </c>
      <c r="J126" s="11" t="s">
        <v>61</v>
      </c>
      <c r="K126" s="11" t="s">
        <v>62</v>
      </c>
      <c r="L126" s="18">
        <v>46287.53380787037</v>
      </c>
      <c r="M126" s="18">
        <v>46287.53386574074</v>
      </c>
      <c r="N126" s="11" t="s">
        <v>63</v>
      </c>
      <c r="O126" s="11">
        <v>0.0</v>
      </c>
      <c r="P126" s="11" t="s">
        <v>1188</v>
      </c>
      <c r="Q126" s="11" t="s">
        <v>1189</v>
      </c>
      <c r="R126" s="11"/>
      <c r="S126" s="11" t="s">
        <v>1190</v>
      </c>
      <c r="T126" s="11" t="s">
        <v>474</v>
      </c>
      <c r="U126" s="11" t="s">
        <v>493</v>
      </c>
      <c r="V126" s="11" t="s">
        <v>126</v>
      </c>
      <c r="W126" s="11">
        <v>1640.0</v>
      </c>
      <c r="X126" s="11" t="s">
        <v>69</v>
      </c>
      <c r="Y126" s="11" t="s">
        <v>1191</v>
      </c>
      <c r="Z126" s="11">
        <v>1.144471414E9</v>
      </c>
      <c r="AA126" s="11" t="s">
        <v>71</v>
      </c>
      <c r="AB126" s="11"/>
      <c r="AC126" s="11"/>
      <c r="AD126" s="11"/>
      <c r="AE126" s="11" t="s">
        <v>1192</v>
      </c>
      <c r="AF126" s="11" t="s">
        <v>1193</v>
      </c>
      <c r="AG126" s="18">
        <v>46287.65880787037</v>
      </c>
      <c r="AH126" s="18">
        <v>46287.65886574074</v>
      </c>
      <c r="AI126" s="11"/>
      <c r="AJ126" s="11"/>
      <c r="AK126" s="11">
        <v>18234.0</v>
      </c>
      <c r="AL126" s="21" t="s">
        <v>75</v>
      </c>
      <c r="AM126" s="16"/>
      <c r="AN126" s="14" t="s">
        <v>39</v>
      </c>
      <c r="AO126" s="23" t="s">
        <v>1194</v>
      </c>
      <c r="AP126" s="16" t="s">
        <v>76</v>
      </c>
      <c r="AQ126" s="16">
        <v>3785.0</v>
      </c>
      <c r="AR126" s="16"/>
      <c r="AS126" s="11" t="s">
        <v>97</v>
      </c>
      <c r="AT126" s="11" t="s">
        <v>1195</v>
      </c>
      <c r="AU126" s="11" t="s">
        <v>1189</v>
      </c>
      <c r="AV126" s="11">
        <v>5.4997808E7</v>
      </c>
      <c r="AW126" s="11" t="s">
        <v>79</v>
      </c>
      <c r="AX126" s="11">
        <v>1.144471414E9</v>
      </c>
      <c r="AY126" s="11" t="s">
        <v>1191</v>
      </c>
      <c r="AZ126" s="24">
        <v>42200.0</v>
      </c>
      <c r="BA126" s="11" t="s">
        <v>100</v>
      </c>
      <c r="BB126" s="11" t="s">
        <v>81</v>
      </c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</row>
    <row r="127" ht="19.5" customHeight="1">
      <c r="A127" s="10" t="b">
        <v>0</v>
      </c>
      <c r="B127" s="11"/>
      <c r="C127" s="13" t="s">
        <v>59</v>
      </c>
      <c r="D127" s="14" t="s">
        <v>60</v>
      </c>
      <c r="E127" s="11"/>
      <c r="F127" s="15" t="s">
        <v>4</v>
      </c>
      <c r="G127" s="16">
        <v>542.0</v>
      </c>
      <c r="H127" s="16"/>
      <c r="I127" s="16">
        <v>47268.0</v>
      </c>
      <c r="J127" s="11" t="s">
        <v>61</v>
      </c>
      <c r="K127" s="11" t="s">
        <v>62</v>
      </c>
      <c r="L127" s="18">
        <v>46287.55023148148</v>
      </c>
      <c r="M127" s="18">
        <v>46287.55028935185</v>
      </c>
      <c r="N127" s="11" t="s">
        <v>63</v>
      </c>
      <c r="O127" s="11">
        <v>0.0</v>
      </c>
      <c r="P127" s="11" t="s">
        <v>1196</v>
      </c>
      <c r="Q127" s="11" t="s">
        <v>1197</v>
      </c>
      <c r="R127" s="11"/>
      <c r="S127" s="11" t="s">
        <v>1198</v>
      </c>
      <c r="T127" s="29">
        <v>0.25</v>
      </c>
      <c r="U127" s="11" t="s">
        <v>362</v>
      </c>
      <c r="V127" s="11" t="s">
        <v>68</v>
      </c>
      <c r="W127" s="11">
        <v>1428.0</v>
      </c>
      <c r="X127" s="11" t="s">
        <v>69</v>
      </c>
      <c r="Y127" s="11" t="s">
        <v>1199</v>
      </c>
      <c r="Z127" s="11">
        <v>5.491165694187E12</v>
      </c>
      <c r="AA127" s="11" t="s">
        <v>71</v>
      </c>
      <c r="AB127" s="11"/>
      <c r="AC127" s="11"/>
      <c r="AD127" s="18">
        <v>46287.55028935185</v>
      </c>
      <c r="AE127" s="11" t="s">
        <v>1200</v>
      </c>
      <c r="AF127" s="11" t="s">
        <v>1201</v>
      </c>
      <c r="AG127" s="18">
        <v>46287.67523148148</v>
      </c>
      <c r="AH127" s="18">
        <v>46287.67528935185</v>
      </c>
      <c r="AI127" s="11"/>
      <c r="AJ127" s="18">
        <v>46287.67528935185</v>
      </c>
      <c r="AK127" s="11">
        <v>18234.0</v>
      </c>
      <c r="AL127" s="21" t="s">
        <v>75</v>
      </c>
      <c r="AM127" s="16"/>
      <c r="AN127" s="16"/>
      <c r="AO127" s="23" t="s">
        <v>1202</v>
      </c>
      <c r="AP127" s="16" t="s">
        <v>76</v>
      </c>
      <c r="AQ127" s="16">
        <v>3842.0</v>
      </c>
      <c r="AR127" s="16"/>
      <c r="AS127" s="11" t="s">
        <v>197</v>
      </c>
      <c r="AT127" s="11" t="s">
        <v>260</v>
      </c>
      <c r="AU127" s="11" t="s">
        <v>1203</v>
      </c>
      <c r="AV127" s="11">
        <v>5.5692149E7</v>
      </c>
      <c r="AW127" s="11" t="s">
        <v>99</v>
      </c>
      <c r="AX127" s="11">
        <v>1.165694187E9</v>
      </c>
      <c r="AY127" s="11" t="s">
        <v>1199</v>
      </c>
      <c r="AZ127" s="24">
        <v>42556.0</v>
      </c>
      <c r="BA127" s="11" t="s">
        <v>144</v>
      </c>
      <c r="BB127" s="11" t="s">
        <v>101</v>
      </c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</row>
    <row r="128" ht="19.5" customHeight="1">
      <c r="A128" s="10" t="b">
        <v>0</v>
      </c>
      <c r="B128" s="11"/>
      <c r="C128" s="13" t="s">
        <v>59</v>
      </c>
      <c r="D128" s="14" t="s">
        <v>59</v>
      </c>
      <c r="E128" s="11"/>
      <c r="F128" s="15" t="s">
        <v>4</v>
      </c>
      <c r="G128" s="16">
        <v>543.0</v>
      </c>
      <c r="H128" s="16"/>
      <c r="I128" s="16">
        <v>47269.0</v>
      </c>
      <c r="J128" s="11" t="s">
        <v>402</v>
      </c>
      <c r="K128" s="11" t="s">
        <v>62</v>
      </c>
      <c r="L128" s="18">
        <v>46287.55094907407</v>
      </c>
      <c r="M128" s="18">
        <v>46287.55094907407</v>
      </c>
      <c r="N128" s="11" t="s">
        <v>63</v>
      </c>
      <c r="O128" s="11">
        <v>0.0</v>
      </c>
      <c r="P128" s="11" t="s">
        <v>1204</v>
      </c>
      <c r="Q128" s="11" t="s">
        <v>1205</v>
      </c>
      <c r="R128" s="11"/>
      <c r="S128" s="11" t="s">
        <v>1206</v>
      </c>
      <c r="T128" s="11" t="s">
        <v>1113</v>
      </c>
      <c r="U128" s="11" t="s">
        <v>362</v>
      </c>
      <c r="V128" s="11" t="s">
        <v>126</v>
      </c>
      <c r="W128" s="11">
        <v>1428.0</v>
      </c>
      <c r="X128" s="11" t="s">
        <v>69</v>
      </c>
      <c r="Y128" s="11" t="s">
        <v>1207</v>
      </c>
      <c r="Z128" s="11">
        <v>1.131832139E9</v>
      </c>
      <c r="AA128" s="11" t="s">
        <v>71</v>
      </c>
      <c r="AB128" s="11"/>
      <c r="AC128" s="11"/>
      <c r="AD128" s="11"/>
      <c r="AE128" s="11" t="s">
        <v>408</v>
      </c>
      <c r="AF128" s="11" t="s">
        <v>1208</v>
      </c>
      <c r="AG128" s="18">
        <v>46287.67594907407</v>
      </c>
      <c r="AH128" s="18">
        <v>46287.67594907407</v>
      </c>
      <c r="AI128" s="11"/>
      <c r="AJ128" s="11"/>
      <c r="AK128" s="11">
        <v>18234.0</v>
      </c>
      <c r="AL128" s="21" t="s">
        <v>75</v>
      </c>
      <c r="AM128" s="16"/>
      <c r="AN128" s="14" t="s">
        <v>39</v>
      </c>
      <c r="AO128" s="23"/>
      <c r="AP128" s="16" t="s">
        <v>76</v>
      </c>
      <c r="AQ128" s="16">
        <v>3469.0</v>
      </c>
      <c r="AR128" s="16"/>
      <c r="AS128" s="11" t="s">
        <v>197</v>
      </c>
      <c r="AT128" s="11" t="s">
        <v>198</v>
      </c>
      <c r="AU128" s="11" t="s">
        <v>1209</v>
      </c>
      <c r="AV128" s="11">
        <v>5.3948287E7</v>
      </c>
      <c r="AW128" s="11" t="s">
        <v>79</v>
      </c>
      <c r="AX128" s="11">
        <v>1.123452502E9</v>
      </c>
      <c r="AY128" s="11" t="s">
        <v>1210</v>
      </c>
      <c r="AZ128" s="24">
        <v>41722.0</v>
      </c>
      <c r="BA128" s="11" t="s">
        <v>144</v>
      </c>
      <c r="BB128" s="11" t="s">
        <v>101</v>
      </c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</row>
    <row r="129" ht="19.5" customHeight="1">
      <c r="A129" s="10" t="b">
        <v>0</v>
      </c>
      <c r="B129" s="11"/>
      <c r="C129" s="13" t="s">
        <v>59</v>
      </c>
      <c r="D129" s="14" t="s">
        <v>60</v>
      </c>
      <c r="E129" s="11"/>
      <c r="F129" s="15" t="s">
        <v>4</v>
      </c>
      <c r="G129" s="16">
        <v>546.0</v>
      </c>
      <c r="H129" s="16"/>
      <c r="I129" s="16">
        <v>47272.0</v>
      </c>
      <c r="J129" s="11" t="s">
        <v>61</v>
      </c>
      <c r="K129" s="11" t="s">
        <v>62</v>
      </c>
      <c r="L129" s="18">
        <v>46287.56868055555</v>
      </c>
      <c r="M129" s="18">
        <v>46287.56873842593</v>
      </c>
      <c r="N129" s="11" t="s">
        <v>63</v>
      </c>
      <c r="O129" s="11">
        <v>0.0</v>
      </c>
      <c r="P129" s="11" t="s">
        <v>1211</v>
      </c>
      <c r="Q129" s="11" t="s">
        <v>1212</v>
      </c>
      <c r="R129" s="11"/>
      <c r="S129" s="11" t="s">
        <v>1213</v>
      </c>
      <c r="T129" s="11">
        <v>0.0</v>
      </c>
      <c r="U129" s="11" t="s">
        <v>1214</v>
      </c>
      <c r="V129" s="11" t="s">
        <v>101</v>
      </c>
      <c r="W129" s="11">
        <v>2132.0</v>
      </c>
      <c r="X129" s="11" t="s">
        <v>69</v>
      </c>
      <c r="Y129" s="11" t="s">
        <v>1215</v>
      </c>
      <c r="Z129" s="11">
        <v>3.416192879E9</v>
      </c>
      <c r="AA129" s="11" t="s">
        <v>71</v>
      </c>
      <c r="AB129" s="11"/>
      <c r="AC129" s="11"/>
      <c r="AD129" s="11"/>
      <c r="AE129" s="11" t="s">
        <v>1216</v>
      </c>
      <c r="AF129" s="11" t="s">
        <v>1217</v>
      </c>
      <c r="AG129" s="18">
        <v>46287.69368055555</v>
      </c>
      <c r="AH129" s="18">
        <v>46287.69373842593</v>
      </c>
      <c r="AI129" s="11"/>
      <c r="AJ129" s="11"/>
      <c r="AK129" s="11">
        <v>18234.0</v>
      </c>
      <c r="AL129" s="21" t="s">
        <v>75</v>
      </c>
      <c r="AM129" s="16"/>
      <c r="AN129" s="16"/>
      <c r="AO129" s="23"/>
      <c r="AP129" s="16" t="s">
        <v>76</v>
      </c>
      <c r="AQ129" s="16">
        <v>3977.0</v>
      </c>
      <c r="AR129" s="16"/>
      <c r="AS129" s="11" t="s">
        <v>810</v>
      </c>
      <c r="AT129" s="11" t="s">
        <v>1218</v>
      </c>
      <c r="AU129" s="11" t="s">
        <v>1219</v>
      </c>
      <c r="AV129" s="11">
        <v>5.3037323E7</v>
      </c>
      <c r="AW129" s="11" t="s">
        <v>99</v>
      </c>
      <c r="AX129" s="11">
        <v>3.416192879E9</v>
      </c>
      <c r="AY129" s="11" t="s">
        <v>1215</v>
      </c>
      <c r="AZ129" s="24">
        <v>41333.0</v>
      </c>
      <c r="BA129" s="11" t="s">
        <v>1220</v>
      </c>
      <c r="BB129" s="11" t="s">
        <v>81</v>
      </c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</row>
    <row r="130" ht="19.5" customHeight="1">
      <c r="A130" s="10" t="b">
        <v>0</v>
      </c>
      <c r="B130" s="11"/>
      <c r="C130" s="13" t="s">
        <v>59</v>
      </c>
      <c r="D130" s="14" t="s">
        <v>60</v>
      </c>
      <c r="E130" s="11"/>
      <c r="F130" s="15" t="s">
        <v>4</v>
      </c>
      <c r="G130" s="16">
        <v>547.0</v>
      </c>
      <c r="H130" s="16"/>
      <c r="I130" s="16">
        <v>47273.0</v>
      </c>
      <c r="J130" s="11" t="s">
        <v>302</v>
      </c>
      <c r="K130" s="11" t="s">
        <v>62</v>
      </c>
      <c r="L130" s="18">
        <v>46287.571875</v>
      </c>
      <c r="M130" s="18">
        <v>46287.57193287037</v>
      </c>
      <c r="N130" s="11" t="s">
        <v>63</v>
      </c>
      <c r="O130" s="11">
        <v>0.0</v>
      </c>
      <c r="P130" s="11" t="s">
        <v>709</v>
      </c>
      <c r="Q130" s="11" t="s">
        <v>1221</v>
      </c>
      <c r="R130" s="11"/>
      <c r="S130" s="11" t="s">
        <v>1222</v>
      </c>
      <c r="T130" s="11">
        <v>2269.0</v>
      </c>
      <c r="U130" s="11" t="s">
        <v>756</v>
      </c>
      <c r="V130" s="11" t="s">
        <v>126</v>
      </c>
      <c r="W130" s="11">
        <v>1426.0</v>
      </c>
      <c r="X130" s="11" t="s">
        <v>69</v>
      </c>
      <c r="Y130" s="11" t="s">
        <v>1223</v>
      </c>
      <c r="Z130" s="11">
        <v>1.140554442E9</v>
      </c>
      <c r="AA130" s="11" t="s">
        <v>71</v>
      </c>
      <c r="AB130" s="11"/>
      <c r="AC130" s="11"/>
      <c r="AD130" s="11"/>
      <c r="AE130" s="11" t="s">
        <v>1224</v>
      </c>
      <c r="AF130" s="11" t="s">
        <v>1225</v>
      </c>
      <c r="AG130" s="18">
        <v>46287.696875</v>
      </c>
      <c r="AH130" s="18">
        <v>46287.69693287037</v>
      </c>
      <c r="AI130" s="11"/>
      <c r="AJ130" s="11"/>
      <c r="AK130" s="11">
        <v>18234.0</v>
      </c>
      <c r="AL130" s="21" t="s">
        <v>75</v>
      </c>
      <c r="AM130" s="16"/>
      <c r="AN130" s="14" t="s">
        <v>39</v>
      </c>
      <c r="AO130" s="23"/>
      <c r="AP130" s="16" t="s">
        <v>76</v>
      </c>
      <c r="AQ130" s="16">
        <v>3771.0</v>
      </c>
      <c r="AR130" s="16"/>
      <c r="AS130" s="11" t="s">
        <v>197</v>
      </c>
      <c r="AT130" s="11" t="s">
        <v>876</v>
      </c>
      <c r="AU130" s="11" t="s">
        <v>1226</v>
      </c>
      <c r="AV130" s="11">
        <v>5.5865021E7</v>
      </c>
      <c r="AW130" s="11" t="s">
        <v>79</v>
      </c>
      <c r="AX130" s="11">
        <v>1.140554442E9</v>
      </c>
      <c r="AY130" s="11" t="s">
        <v>1223</v>
      </c>
      <c r="AZ130" s="24">
        <v>42615.0</v>
      </c>
      <c r="BA130" s="11" t="s">
        <v>144</v>
      </c>
      <c r="BB130" s="11" t="s">
        <v>81</v>
      </c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</row>
    <row r="131" ht="19.5" customHeight="1">
      <c r="A131" s="10" t="b">
        <v>0</v>
      </c>
      <c r="B131" s="11"/>
      <c r="C131" s="13" t="s">
        <v>60</v>
      </c>
      <c r="D131" s="14" t="s">
        <v>60</v>
      </c>
      <c r="E131" s="11"/>
      <c r="F131" s="15" t="s">
        <v>4</v>
      </c>
      <c r="G131" s="16">
        <v>548.0</v>
      </c>
      <c r="H131" s="16"/>
      <c r="I131" s="16">
        <v>47274.0</v>
      </c>
      <c r="J131" s="11" t="s">
        <v>61</v>
      </c>
      <c r="K131" s="11" t="s">
        <v>62</v>
      </c>
      <c r="L131" s="18">
        <v>46287.57246527778</v>
      </c>
      <c r="M131" s="18">
        <v>46287.57252314815</v>
      </c>
      <c r="N131" s="11" t="s">
        <v>63</v>
      </c>
      <c r="O131" s="11">
        <v>0.0</v>
      </c>
      <c r="P131" s="11" t="s">
        <v>1227</v>
      </c>
      <c r="Q131" s="11" t="s">
        <v>1228</v>
      </c>
      <c r="R131" s="11"/>
      <c r="S131" s="11" t="s">
        <v>1229</v>
      </c>
      <c r="T131" s="11"/>
      <c r="U131" s="11" t="s">
        <v>692</v>
      </c>
      <c r="V131" s="11" t="s">
        <v>68</v>
      </c>
      <c r="W131" s="11">
        <v>1900.0</v>
      </c>
      <c r="X131" s="11" t="s">
        <v>69</v>
      </c>
      <c r="Y131" s="11" t="s">
        <v>1230</v>
      </c>
      <c r="Z131" s="11">
        <v>5.42215660474E11</v>
      </c>
      <c r="AA131" s="11" t="s">
        <v>71</v>
      </c>
      <c r="AB131" s="11"/>
      <c r="AC131" s="11"/>
      <c r="AD131" s="18">
        <v>46287.57252314815</v>
      </c>
      <c r="AE131" s="11" t="s">
        <v>1231</v>
      </c>
      <c r="AF131" s="11" t="s">
        <v>1232</v>
      </c>
      <c r="AG131" s="18">
        <v>46287.69746527778</v>
      </c>
      <c r="AH131" s="18">
        <v>46287.69752314815</v>
      </c>
      <c r="AI131" s="11"/>
      <c r="AJ131" s="18">
        <v>46287.69752314815</v>
      </c>
      <c r="AK131" s="11">
        <v>18234.0</v>
      </c>
      <c r="AL131" s="21" t="s">
        <v>75</v>
      </c>
      <c r="AM131" s="16"/>
      <c r="AN131" s="14" t="s">
        <v>39</v>
      </c>
      <c r="AO131" s="23" t="s">
        <v>1233</v>
      </c>
      <c r="AP131" s="16" t="s">
        <v>76</v>
      </c>
      <c r="AQ131" s="16">
        <v>3297.0</v>
      </c>
      <c r="AR131" s="16"/>
      <c r="AS131" s="11" t="s">
        <v>433</v>
      </c>
      <c r="AT131" s="11" t="s">
        <v>1234</v>
      </c>
      <c r="AU131" s="11" t="s">
        <v>1235</v>
      </c>
      <c r="AV131" s="11">
        <v>5.5484922E7</v>
      </c>
      <c r="AW131" s="11" t="s">
        <v>79</v>
      </c>
      <c r="AX131" s="11">
        <v>2.215660474E9</v>
      </c>
      <c r="AY131" s="11" t="s">
        <v>1230</v>
      </c>
      <c r="AZ131" s="24">
        <v>42492.0</v>
      </c>
      <c r="BA131" s="11" t="s">
        <v>1236</v>
      </c>
      <c r="BB131" s="11" t="s">
        <v>101</v>
      </c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</row>
    <row r="132" ht="19.5" customHeight="1">
      <c r="A132" s="10" t="b">
        <v>0</v>
      </c>
      <c r="B132" s="11"/>
      <c r="C132" s="13" t="s">
        <v>59</v>
      </c>
      <c r="D132" s="14" t="s">
        <v>60</v>
      </c>
      <c r="E132" s="11"/>
      <c r="F132" s="15" t="s">
        <v>4</v>
      </c>
      <c r="G132" s="16">
        <v>549.0</v>
      </c>
      <c r="H132" s="16"/>
      <c r="I132" s="16">
        <v>47275.0</v>
      </c>
      <c r="J132" s="11" t="s">
        <v>61</v>
      </c>
      <c r="K132" s="11" t="s">
        <v>62</v>
      </c>
      <c r="L132" s="18">
        <v>46287.575902777775</v>
      </c>
      <c r="M132" s="18">
        <v>46287.575949074075</v>
      </c>
      <c r="N132" s="11" t="s">
        <v>63</v>
      </c>
      <c r="O132" s="11">
        <v>0.0</v>
      </c>
      <c r="P132" s="11" t="s">
        <v>231</v>
      </c>
      <c r="Q132" s="11" t="s">
        <v>1237</v>
      </c>
      <c r="R132" s="11"/>
      <c r="S132" s="11" t="s">
        <v>1238</v>
      </c>
      <c r="T132" s="11"/>
      <c r="U132" s="11" t="s">
        <v>1239</v>
      </c>
      <c r="V132" s="11" t="s">
        <v>101</v>
      </c>
      <c r="W132" s="11">
        <v>2134.0</v>
      </c>
      <c r="X132" s="11" t="s">
        <v>69</v>
      </c>
      <c r="Y132" s="11" t="s">
        <v>1240</v>
      </c>
      <c r="Z132" s="11">
        <v>3.416291689E9</v>
      </c>
      <c r="AA132" s="11" t="s">
        <v>71</v>
      </c>
      <c r="AB132" s="11"/>
      <c r="AC132" s="11"/>
      <c r="AD132" s="18">
        <v>46287.575949074075</v>
      </c>
      <c r="AE132" s="11" t="s">
        <v>1241</v>
      </c>
      <c r="AF132" s="11" t="s">
        <v>1242</v>
      </c>
      <c r="AG132" s="18">
        <v>46287.700902777775</v>
      </c>
      <c r="AH132" s="18">
        <v>46287.700949074075</v>
      </c>
      <c r="AI132" s="11"/>
      <c r="AJ132" s="18">
        <v>46287.700949074075</v>
      </c>
      <c r="AK132" s="11">
        <v>18234.0</v>
      </c>
      <c r="AL132" s="21" t="s">
        <v>75</v>
      </c>
      <c r="AM132" s="16"/>
      <c r="AN132" s="16"/>
      <c r="AO132" s="23"/>
      <c r="AP132" s="16" t="s">
        <v>76</v>
      </c>
      <c r="AQ132" s="16">
        <v>4153.0</v>
      </c>
      <c r="AR132" s="16"/>
      <c r="AS132" s="11" t="s">
        <v>810</v>
      </c>
      <c r="AT132" s="11" t="s">
        <v>1243</v>
      </c>
      <c r="AU132" s="11" t="s">
        <v>1237</v>
      </c>
      <c r="AV132" s="11">
        <v>5.349747E7</v>
      </c>
      <c r="AW132" s="11" t="s">
        <v>99</v>
      </c>
      <c r="AX132" s="11">
        <v>3.416291689E9</v>
      </c>
      <c r="AY132" s="11" t="s">
        <v>1240</v>
      </c>
      <c r="AZ132" s="24">
        <v>41507.0</v>
      </c>
      <c r="BA132" s="11" t="s">
        <v>1244</v>
      </c>
      <c r="BB132" s="11" t="s">
        <v>81</v>
      </c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</row>
    <row r="133" ht="19.5" customHeight="1">
      <c r="A133" s="10" t="b">
        <v>0</v>
      </c>
      <c r="B133" s="11"/>
      <c r="C133" s="13" t="s">
        <v>59</v>
      </c>
      <c r="D133" s="14" t="s">
        <v>60</v>
      </c>
      <c r="E133" s="11"/>
      <c r="F133" s="15" t="s">
        <v>4</v>
      </c>
      <c r="G133" s="16">
        <v>551.0</v>
      </c>
      <c r="H133" s="16"/>
      <c r="I133" s="16">
        <v>47277.0</v>
      </c>
      <c r="J133" s="11" t="s">
        <v>61</v>
      </c>
      <c r="K133" s="11" t="s">
        <v>62</v>
      </c>
      <c r="L133" s="18">
        <v>46287.576944444445</v>
      </c>
      <c r="M133" s="18">
        <v>46287.57699074074</v>
      </c>
      <c r="N133" s="11" t="s">
        <v>63</v>
      </c>
      <c r="O133" s="11">
        <v>0.0</v>
      </c>
      <c r="P133" s="11" t="s">
        <v>709</v>
      </c>
      <c r="Q133" s="11" t="s">
        <v>1221</v>
      </c>
      <c r="R133" s="11"/>
      <c r="S133" s="11" t="s">
        <v>1222</v>
      </c>
      <c r="T133" s="11">
        <v>2269.0</v>
      </c>
      <c r="U133" s="11" t="s">
        <v>756</v>
      </c>
      <c r="V133" s="11" t="s">
        <v>126</v>
      </c>
      <c r="W133" s="11">
        <v>1426.0</v>
      </c>
      <c r="X133" s="11" t="s">
        <v>69</v>
      </c>
      <c r="Y133" s="11" t="s">
        <v>1223</v>
      </c>
      <c r="Z133" s="11">
        <v>1.140554442E9</v>
      </c>
      <c r="AA133" s="11" t="s">
        <v>71</v>
      </c>
      <c r="AB133" s="11"/>
      <c r="AC133" s="11"/>
      <c r="AD133" s="18">
        <v>46287.57699074074</v>
      </c>
      <c r="AE133" s="11" t="s">
        <v>1245</v>
      </c>
      <c r="AF133" s="11" t="s">
        <v>1246</v>
      </c>
      <c r="AG133" s="18">
        <v>46287.701944444445</v>
      </c>
      <c r="AH133" s="18">
        <v>46287.70199074074</v>
      </c>
      <c r="AI133" s="11"/>
      <c r="AJ133" s="18">
        <v>46287.70199074074</v>
      </c>
      <c r="AK133" s="11">
        <v>18234.0</v>
      </c>
      <c r="AL133" s="21" t="s">
        <v>75</v>
      </c>
      <c r="AM133" s="16"/>
      <c r="AN133" s="16"/>
      <c r="AO133" s="23"/>
      <c r="AP133" s="16" t="s">
        <v>76</v>
      </c>
      <c r="AQ133" s="16">
        <v>4184.0</v>
      </c>
      <c r="AR133" s="16"/>
      <c r="AS133" s="11" t="s">
        <v>197</v>
      </c>
      <c r="AT133" s="11" t="s">
        <v>411</v>
      </c>
      <c r="AU133" s="11" t="s">
        <v>1226</v>
      </c>
      <c r="AV133" s="11">
        <v>5.4382069E7</v>
      </c>
      <c r="AW133" s="11" t="s">
        <v>99</v>
      </c>
      <c r="AX133" s="11">
        <v>1.140554442E9</v>
      </c>
      <c r="AY133" s="11" t="s">
        <v>1223</v>
      </c>
      <c r="AZ133" s="24">
        <v>41933.0</v>
      </c>
      <c r="BA133" s="11" t="s">
        <v>144</v>
      </c>
      <c r="BB133" s="11" t="s">
        <v>81</v>
      </c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</row>
    <row r="134" ht="19.5" customHeight="1">
      <c r="A134" s="10" t="b">
        <v>0</v>
      </c>
      <c r="B134" s="11"/>
      <c r="C134" s="13" t="s">
        <v>60</v>
      </c>
      <c r="D134" s="14" t="s">
        <v>60</v>
      </c>
      <c r="E134" s="11"/>
      <c r="F134" s="15" t="s">
        <v>4</v>
      </c>
      <c r="G134" s="16">
        <v>554.0</v>
      </c>
      <c r="H134" s="16"/>
      <c r="I134" s="16">
        <v>47280.0</v>
      </c>
      <c r="J134" s="11" t="s">
        <v>61</v>
      </c>
      <c r="K134" s="11" t="s">
        <v>62</v>
      </c>
      <c r="L134" s="18">
        <v>46287.58524305555</v>
      </c>
      <c r="M134" s="18">
        <v>46287.58528935185</v>
      </c>
      <c r="N134" s="11" t="s">
        <v>63</v>
      </c>
      <c r="O134" s="11">
        <v>0.0</v>
      </c>
      <c r="P134" s="11" t="s">
        <v>1247</v>
      </c>
      <c r="Q134" s="11" t="s">
        <v>1248</v>
      </c>
      <c r="R134" s="11"/>
      <c r="S134" s="11" t="s">
        <v>1249</v>
      </c>
      <c r="T134" s="11">
        <v>2661.0</v>
      </c>
      <c r="U134" s="11" t="s">
        <v>362</v>
      </c>
      <c r="V134" s="11" t="s">
        <v>68</v>
      </c>
      <c r="W134" s="11">
        <v>1428.0</v>
      </c>
      <c r="X134" s="11" t="s">
        <v>69</v>
      </c>
      <c r="Y134" s="11" t="s">
        <v>1250</v>
      </c>
      <c r="Z134" s="11">
        <v>5.4113135103E11</v>
      </c>
      <c r="AA134" s="11" t="s">
        <v>71</v>
      </c>
      <c r="AB134" s="11"/>
      <c r="AC134" s="11"/>
      <c r="AD134" s="18">
        <v>46287.58528935185</v>
      </c>
      <c r="AE134" s="11" t="s">
        <v>1251</v>
      </c>
      <c r="AF134" s="11" t="s">
        <v>1252</v>
      </c>
      <c r="AG134" s="18">
        <v>46287.71024305555</v>
      </c>
      <c r="AH134" s="18">
        <v>46287.71028935185</v>
      </c>
      <c r="AI134" s="11"/>
      <c r="AJ134" s="18">
        <v>46287.71028935185</v>
      </c>
      <c r="AK134" s="11">
        <v>18234.0</v>
      </c>
      <c r="AL134" s="21" t="s">
        <v>75</v>
      </c>
      <c r="AM134" s="16"/>
      <c r="AN134" s="16"/>
      <c r="AO134" s="23"/>
      <c r="AP134" s="16" t="s">
        <v>76</v>
      </c>
      <c r="AQ134" s="16">
        <v>3635.0</v>
      </c>
      <c r="AR134" s="16"/>
      <c r="AS134" s="11" t="s">
        <v>110</v>
      </c>
      <c r="AT134" s="11" t="s">
        <v>1253</v>
      </c>
      <c r="AU134" s="11" t="s">
        <v>1254</v>
      </c>
      <c r="AV134" s="11">
        <v>5.49964E7</v>
      </c>
      <c r="AW134" s="11" t="s">
        <v>99</v>
      </c>
      <c r="AX134" s="11">
        <v>1.13135103E9</v>
      </c>
      <c r="AY134" s="11" t="s">
        <v>1255</v>
      </c>
      <c r="AZ134" s="31">
        <v>42200.0</v>
      </c>
      <c r="BA134" s="11" t="s">
        <v>1256</v>
      </c>
      <c r="BB134" s="11" t="s">
        <v>101</v>
      </c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</row>
    <row r="135" ht="19.5" customHeight="1">
      <c r="A135" s="10" t="b">
        <v>0</v>
      </c>
      <c r="B135" s="11"/>
      <c r="C135" s="13" t="s">
        <v>60</v>
      </c>
      <c r="D135" s="14" t="s">
        <v>60</v>
      </c>
      <c r="E135" s="11"/>
      <c r="F135" s="15" t="s">
        <v>4</v>
      </c>
      <c r="G135" s="16">
        <v>559.0</v>
      </c>
      <c r="H135" s="16"/>
      <c r="I135" s="16">
        <v>47285.0</v>
      </c>
      <c r="J135" s="11" t="s">
        <v>61</v>
      </c>
      <c r="K135" s="11" t="s">
        <v>62</v>
      </c>
      <c r="L135" s="18">
        <v>46287.60134259259</v>
      </c>
      <c r="M135" s="18">
        <v>46287.60138888889</v>
      </c>
      <c r="N135" s="11" t="s">
        <v>63</v>
      </c>
      <c r="O135" s="11">
        <v>0.0</v>
      </c>
      <c r="P135" s="11" t="s">
        <v>985</v>
      </c>
      <c r="Q135" s="11" t="s">
        <v>1087</v>
      </c>
      <c r="R135" s="11"/>
      <c r="S135" s="11" t="s">
        <v>1257</v>
      </c>
      <c r="T135" s="11"/>
      <c r="U135" s="11" t="s">
        <v>1258</v>
      </c>
      <c r="V135" s="11" t="s">
        <v>126</v>
      </c>
      <c r="W135" s="11">
        <v>1641.0</v>
      </c>
      <c r="X135" s="11" t="s">
        <v>69</v>
      </c>
      <c r="Y135" s="11" t="s">
        <v>1259</v>
      </c>
      <c r="Z135" s="11">
        <v>1.136390898E9</v>
      </c>
      <c r="AA135" s="11" t="s">
        <v>71</v>
      </c>
      <c r="AB135" s="11"/>
      <c r="AC135" s="11"/>
      <c r="AD135" s="18">
        <v>46287.60138888889</v>
      </c>
      <c r="AE135" s="11" t="s">
        <v>1260</v>
      </c>
      <c r="AF135" s="11" t="s">
        <v>1261</v>
      </c>
      <c r="AG135" s="18">
        <v>46287.72634259259</v>
      </c>
      <c r="AH135" s="18">
        <v>46287.72638888889</v>
      </c>
      <c r="AI135" s="11"/>
      <c r="AJ135" s="18">
        <v>46287.72638888889</v>
      </c>
      <c r="AK135" s="11">
        <v>18234.0</v>
      </c>
      <c r="AL135" s="21" t="s">
        <v>75</v>
      </c>
      <c r="AM135" s="16"/>
      <c r="AN135" s="14" t="s">
        <v>39</v>
      </c>
      <c r="AO135" s="23" t="s">
        <v>1262</v>
      </c>
      <c r="AP135" s="16" t="s">
        <v>76</v>
      </c>
      <c r="AQ135" s="16">
        <v>3947.0</v>
      </c>
      <c r="AR135" s="16"/>
      <c r="AS135" s="11" t="s">
        <v>251</v>
      </c>
      <c r="AT135" s="11" t="s">
        <v>208</v>
      </c>
      <c r="AU135" s="11" t="s">
        <v>1263</v>
      </c>
      <c r="AV135" s="11">
        <v>5.5603538E7</v>
      </c>
      <c r="AW135" s="11" t="s">
        <v>79</v>
      </c>
      <c r="AX135" s="11">
        <v>1.136390898E9</v>
      </c>
      <c r="AY135" s="11" t="s">
        <v>1259</v>
      </c>
      <c r="AZ135" s="24">
        <v>42467.0</v>
      </c>
      <c r="BA135" s="11" t="s">
        <v>1256</v>
      </c>
      <c r="BB135" s="11" t="s">
        <v>101</v>
      </c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</row>
    <row r="136" ht="19.5" customHeight="1">
      <c r="A136" s="10" t="b">
        <v>0</v>
      </c>
      <c r="B136" s="11"/>
      <c r="C136" s="13" t="s">
        <v>59</v>
      </c>
      <c r="D136" s="14" t="s">
        <v>60</v>
      </c>
      <c r="E136" s="11"/>
      <c r="F136" s="15" t="s">
        <v>4</v>
      </c>
      <c r="G136" s="16">
        <v>561.0</v>
      </c>
      <c r="H136" s="16"/>
      <c r="I136" s="16">
        <v>47287.0</v>
      </c>
      <c r="J136" s="11" t="s">
        <v>61</v>
      </c>
      <c r="K136" s="11" t="s">
        <v>62</v>
      </c>
      <c r="L136" s="18">
        <v>46287.60444444444</v>
      </c>
      <c r="M136" s="18">
        <v>46287.60450231482</v>
      </c>
      <c r="N136" s="11" t="s">
        <v>63</v>
      </c>
      <c r="O136" s="11">
        <v>0.0</v>
      </c>
      <c r="P136" s="11" t="s">
        <v>1264</v>
      </c>
      <c r="Q136" s="11" t="s">
        <v>1265</v>
      </c>
      <c r="R136" s="11"/>
      <c r="S136" s="11" t="s">
        <v>1266</v>
      </c>
      <c r="T136" s="11"/>
      <c r="U136" s="11" t="s">
        <v>913</v>
      </c>
      <c r="V136" s="11" t="s">
        <v>68</v>
      </c>
      <c r="W136" s="11">
        <v>1642.0</v>
      </c>
      <c r="X136" s="11" t="s">
        <v>69</v>
      </c>
      <c r="Y136" s="11" t="s">
        <v>1267</v>
      </c>
      <c r="Z136" s="11">
        <v>1.124973959E9</v>
      </c>
      <c r="AA136" s="11" t="s">
        <v>71</v>
      </c>
      <c r="AB136" s="11"/>
      <c r="AC136" s="11"/>
      <c r="AD136" s="18">
        <v>46287.60450231482</v>
      </c>
      <c r="AE136" s="11" t="s">
        <v>1268</v>
      </c>
      <c r="AF136" s="11" t="s">
        <v>1269</v>
      </c>
      <c r="AG136" s="18">
        <v>46287.72944444444</v>
      </c>
      <c r="AH136" s="18">
        <v>46287.72950231482</v>
      </c>
      <c r="AI136" s="11"/>
      <c r="AJ136" s="18">
        <v>46287.72950231482</v>
      </c>
      <c r="AK136" s="11">
        <v>18234.0</v>
      </c>
      <c r="AL136" s="21" t="s">
        <v>75</v>
      </c>
      <c r="AM136" s="16"/>
      <c r="AN136" s="16"/>
      <c r="AO136" s="23"/>
      <c r="AP136" s="16" t="s">
        <v>76</v>
      </c>
      <c r="AQ136" s="16">
        <v>4172.0</v>
      </c>
      <c r="AR136" s="16"/>
      <c r="AS136" s="11" t="s">
        <v>251</v>
      </c>
      <c r="AT136" s="10" t="s">
        <v>1270</v>
      </c>
      <c r="AU136" s="11" t="s">
        <v>1265</v>
      </c>
      <c r="AV136" s="11">
        <v>5.5295476E7</v>
      </c>
      <c r="AW136" s="11" t="s">
        <v>99</v>
      </c>
      <c r="AX136" s="11">
        <v>1.154131819E9</v>
      </c>
      <c r="AY136" s="11" t="s">
        <v>1267</v>
      </c>
      <c r="AZ136" s="24">
        <v>42343.0</v>
      </c>
      <c r="BA136" s="11" t="s">
        <v>144</v>
      </c>
      <c r="BB136" s="11" t="s">
        <v>101</v>
      </c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</row>
    <row r="137" ht="19.5" customHeight="1">
      <c r="A137" s="10" t="b">
        <v>0</v>
      </c>
      <c r="B137" s="11"/>
      <c r="C137" s="13" t="s">
        <v>60</v>
      </c>
      <c r="D137" s="14" t="s">
        <v>60</v>
      </c>
      <c r="E137" s="11"/>
      <c r="F137" s="15" t="s">
        <v>4</v>
      </c>
      <c r="G137" s="16">
        <v>564.0</v>
      </c>
      <c r="H137" s="16"/>
      <c r="I137" s="16">
        <v>47290.0</v>
      </c>
      <c r="J137" s="11" t="s">
        <v>61</v>
      </c>
      <c r="K137" s="11" t="s">
        <v>62</v>
      </c>
      <c r="L137" s="18">
        <v>46287.624710648146</v>
      </c>
      <c r="M137" s="18">
        <v>46287.624768518515</v>
      </c>
      <c r="N137" s="11" t="s">
        <v>63</v>
      </c>
      <c r="O137" s="11">
        <v>0.0</v>
      </c>
      <c r="P137" s="11" t="s">
        <v>1271</v>
      </c>
      <c r="Q137" s="11" t="s">
        <v>1272</v>
      </c>
      <c r="R137" s="11"/>
      <c r="S137" s="11" t="s">
        <v>1273</v>
      </c>
      <c r="T137" s="11"/>
      <c r="U137" s="11" t="s">
        <v>137</v>
      </c>
      <c r="V137" s="11" t="s">
        <v>68</v>
      </c>
      <c r="W137" s="11">
        <v>1643.0</v>
      </c>
      <c r="X137" s="11" t="s">
        <v>69</v>
      </c>
      <c r="Y137" s="11" t="s">
        <v>1274</v>
      </c>
      <c r="Z137" s="11">
        <v>1.169983112E9</v>
      </c>
      <c r="AA137" s="11" t="s">
        <v>71</v>
      </c>
      <c r="AB137" s="11"/>
      <c r="AC137" s="11"/>
      <c r="AD137" s="18">
        <v>46287.624768518515</v>
      </c>
      <c r="AE137" s="11" t="s">
        <v>1275</v>
      </c>
      <c r="AF137" s="11" t="s">
        <v>1276</v>
      </c>
      <c r="AG137" s="18">
        <v>46287.749710648146</v>
      </c>
      <c r="AH137" s="18">
        <v>46287.749768518515</v>
      </c>
      <c r="AI137" s="11"/>
      <c r="AJ137" s="18">
        <v>46287.749768518515</v>
      </c>
      <c r="AK137" s="11">
        <v>18234.0</v>
      </c>
      <c r="AL137" s="21" t="s">
        <v>75</v>
      </c>
      <c r="AM137" s="16"/>
      <c r="AN137" s="14" t="s">
        <v>39</v>
      </c>
      <c r="AO137" s="23"/>
      <c r="AP137" s="16" t="s">
        <v>76</v>
      </c>
      <c r="AQ137" s="16">
        <v>3229.0</v>
      </c>
      <c r="AR137" s="16"/>
      <c r="AS137" s="11" t="s">
        <v>110</v>
      </c>
      <c r="AT137" s="11" t="s">
        <v>1277</v>
      </c>
      <c r="AU137" s="11" t="s">
        <v>1278</v>
      </c>
      <c r="AV137" s="11">
        <v>5.3578375E7</v>
      </c>
      <c r="AW137" s="11" t="s">
        <v>79</v>
      </c>
      <c r="AX137" s="11">
        <v>1.169983112E9</v>
      </c>
      <c r="AY137" s="11" t="s">
        <v>1279</v>
      </c>
      <c r="AZ137" s="24">
        <v>41554.0</v>
      </c>
      <c r="BA137" s="11" t="s">
        <v>1280</v>
      </c>
      <c r="BB137" s="11" t="s">
        <v>1118</v>
      </c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</row>
    <row r="138" ht="19.5" customHeight="1">
      <c r="A138" s="10" t="b">
        <v>0</v>
      </c>
      <c r="B138" s="11"/>
      <c r="C138" s="13" t="s">
        <v>59</v>
      </c>
      <c r="D138" s="14" t="s">
        <v>60</v>
      </c>
      <c r="E138" s="11"/>
      <c r="F138" s="15" t="s">
        <v>4</v>
      </c>
      <c r="G138" s="16">
        <v>566.0</v>
      </c>
      <c r="H138" s="16"/>
      <c r="I138" s="16">
        <v>47292.0</v>
      </c>
      <c r="J138" s="11" t="s">
        <v>61</v>
      </c>
      <c r="K138" s="11" t="s">
        <v>62</v>
      </c>
      <c r="L138" s="18">
        <v>46287.62703703704</v>
      </c>
      <c r="M138" s="18">
        <v>46287.62709490741</v>
      </c>
      <c r="N138" s="11" t="s">
        <v>63</v>
      </c>
      <c r="O138" s="11">
        <v>0.0</v>
      </c>
      <c r="P138" s="11" t="s">
        <v>1281</v>
      </c>
      <c r="Q138" s="11" t="s">
        <v>1282</v>
      </c>
      <c r="R138" s="11"/>
      <c r="S138" s="11" t="s">
        <v>1283</v>
      </c>
      <c r="T138" s="11"/>
      <c r="U138" s="11" t="s">
        <v>1284</v>
      </c>
      <c r="V138" s="11" t="s">
        <v>68</v>
      </c>
      <c r="W138" s="11">
        <v>2930.0</v>
      </c>
      <c r="X138" s="11" t="s">
        <v>69</v>
      </c>
      <c r="Y138" s="11" t="s">
        <v>1285</v>
      </c>
      <c r="Z138" s="11">
        <v>3.329669841E9</v>
      </c>
      <c r="AA138" s="11" t="s">
        <v>71</v>
      </c>
      <c r="AB138" s="11"/>
      <c r="AC138" s="11"/>
      <c r="AD138" s="18">
        <v>46287.62709490741</v>
      </c>
      <c r="AE138" s="11" t="s">
        <v>1286</v>
      </c>
      <c r="AF138" s="11" t="s">
        <v>1287</v>
      </c>
      <c r="AG138" s="18">
        <v>46287.75203703704</v>
      </c>
      <c r="AH138" s="18">
        <v>46287.75209490741</v>
      </c>
      <c r="AI138" s="11"/>
      <c r="AJ138" s="18">
        <v>46287.75209490741</v>
      </c>
      <c r="AK138" s="11">
        <v>18234.0</v>
      </c>
      <c r="AL138" s="21" t="s">
        <v>75</v>
      </c>
      <c r="AM138" s="16"/>
      <c r="AN138" s="16"/>
      <c r="AO138" s="23"/>
      <c r="AP138" s="16" t="s">
        <v>76</v>
      </c>
      <c r="AQ138" s="16">
        <v>4042.0</v>
      </c>
      <c r="AR138" s="16"/>
      <c r="AS138" s="11" t="s">
        <v>218</v>
      </c>
      <c r="AT138" s="11" t="s">
        <v>1288</v>
      </c>
      <c r="AU138" s="11" t="s">
        <v>1289</v>
      </c>
      <c r="AV138" s="11">
        <v>5.5732113E7</v>
      </c>
      <c r="AW138" s="11" t="s">
        <v>99</v>
      </c>
      <c r="AX138" s="11">
        <v>3.329669841E9</v>
      </c>
      <c r="AY138" s="11" t="s">
        <v>1285</v>
      </c>
      <c r="AZ138" s="24">
        <v>42614.0</v>
      </c>
      <c r="BA138" s="11" t="s">
        <v>1290</v>
      </c>
      <c r="BB138" s="11" t="s">
        <v>101</v>
      </c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</row>
    <row r="139" ht="19.5" customHeight="1">
      <c r="A139" s="10" t="b">
        <v>0</v>
      </c>
      <c r="B139" s="11"/>
      <c r="C139" s="13" t="s">
        <v>60</v>
      </c>
      <c r="D139" s="14" t="s">
        <v>60</v>
      </c>
      <c r="E139" s="11"/>
      <c r="F139" s="15" t="s">
        <v>4</v>
      </c>
      <c r="G139" s="16">
        <v>568.0</v>
      </c>
      <c r="H139" s="16"/>
      <c r="I139" s="16">
        <v>47294.0</v>
      </c>
      <c r="J139" s="11" t="s">
        <v>61</v>
      </c>
      <c r="K139" s="11" t="s">
        <v>62</v>
      </c>
      <c r="L139" s="18">
        <v>46287.63270833333</v>
      </c>
      <c r="M139" s="18">
        <v>46287.63277777778</v>
      </c>
      <c r="N139" s="11" t="s">
        <v>63</v>
      </c>
      <c r="O139" s="11">
        <v>0.0</v>
      </c>
      <c r="P139" s="11" t="s">
        <v>929</v>
      </c>
      <c r="Q139" s="11" t="s">
        <v>1291</v>
      </c>
      <c r="R139" s="11"/>
      <c r="S139" s="11" t="s">
        <v>1292</v>
      </c>
      <c r="T139" s="11"/>
      <c r="U139" s="11" t="s">
        <v>276</v>
      </c>
      <c r="V139" s="11" t="s">
        <v>126</v>
      </c>
      <c r="W139" s="11">
        <v>1428.0</v>
      </c>
      <c r="X139" s="11" t="s">
        <v>69</v>
      </c>
      <c r="Y139" s="11" t="s">
        <v>1293</v>
      </c>
      <c r="Z139" s="11">
        <v>1.154668166E9</v>
      </c>
      <c r="AA139" s="11" t="s">
        <v>71</v>
      </c>
      <c r="AB139" s="11"/>
      <c r="AC139" s="11"/>
      <c r="AD139" s="18">
        <v>46287.63277777778</v>
      </c>
      <c r="AE139" s="11" t="s">
        <v>1294</v>
      </c>
      <c r="AF139" s="11" t="s">
        <v>1295</v>
      </c>
      <c r="AG139" s="18">
        <v>46287.75770833333</v>
      </c>
      <c r="AH139" s="18">
        <v>46287.75777777778</v>
      </c>
      <c r="AI139" s="11"/>
      <c r="AJ139" s="18">
        <v>46287.75777777778</v>
      </c>
      <c r="AK139" s="11">
        <v>18234.0</v>
      </c>
      <c r="AL139" s="21" t="s">
        <v>75</v>
      </c>
      <c r="AM139" s="16"/>
      <c r="AN139" s="14" t="s">
        <v>39</v>
      </c>
      <c r="AO139" s="23"/>
      <c r="AP139" s="16" t="s">
        <v>76</v>
      </c>
      <c r="AQ139" s="16">
        <v>4066.0</v>
      </c>
      <c r="AR139" s="16"/>
      <c r="AS139" s="11" t="s">
        <v>298</v>
      </c>
      <c r="AT139" s="11" t="s">
        <v>1234</v>
      </c>
      <c r="AU139" s="11" t="s">
        <v>1296</v>
      </c>
      <c r="AV139" s="11">
        <v>5.5069157E7</v>
      </c>
      <c r="AW139" s="11" t="s">
        <v>79</v>
      </c>
      <c r="AX139" s="11">
        <v>1.154668166E9</v>
      </c>
      <c r="AY139" s="11" t="s">
        <v>1297</v>
      </c>
      <c r="AZ139" s="24">
        <v>42254.0</v>
      </c>
      <c r="BA139" s="11" t="s">
        <v>1298</v>
      </c>
      <c r="BB139" s="11" t="s">
        <v>101</v>
      </c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</row>
    <row r="140" ht="19.5" customHeight="1">
      <c r="A140" s="10" t="b">
        <v>0</v>
      </c>
      <c r="B140" s="11"/>
      <c r="C140" s="13" t="s">
        <v>60</v>
      </c>
      <c r="D140" s="14" t="s">
        <v>60</v>
      </c>
      <c r="E140" s="11"/>
      <c r="F140" s="15" t="s">
        <v>4</v>
      </c>
      <c r="G140" s="16">
        <v>570.0</v>
      </c>
      <c r="H140" s="16"/>
      <c r="I140" s="16">
        <v>47296.0</v>
      </c>
      <c r="J140" s="11" t="s">
        <v>61</v>
      </c>
      <c r="K140" s="11" t="s">
        <v>62</v>
      </c>
      <c r="L140" s="18">
        <v>46287.63511574074</v>
      </c>
      <c r="M140" s="18">
        <v>46287.63518518519</v>
      </c>
      <c r="N140" s="11" t="s">
        <v>63</v>
      </c>
      <c r="O140" s="11">
        <v>0.0</v>
      </c>
      <c r="P140" s="11" t="s">
        <v>929</v>
      </c>
      <c r="Q140" s="11" t="s">
        <v>1291</v>
      </c>
      <c r="R140" s="11"/>
      <c r="S140" s="11" t="s">
        <v>1292</v>
      </c>
      <c r="T140" s="11"/>
      <c r="U140" s="11" t="s">
        <v>276</v>
      </c>
      <c r="V140" s="11" t="s">
        <v>126</v>
      </c>
      <c r="W140" s="11">
        <v>1428.0</v>
      </c>
      <c r="X140" s="11" t="s">
        <v>69</v>
      </c>
      <c r="Y140" s="11" t="s">
        <v>1293</v>
      </c>
      <c r="Z140" s="11">
        <v>1.154668166E9</v>
      </c>
      <c r="AA140" s="11" t="s">
        <v>71</v>
      </c>
      <c r="AB140" s="11"/>
      <c r="AC140" s="11"/>
      <c r="AD140" s="11"/>
      <c r="AE140" s="11" t="s">
        <v>1299</v>
      </c>
      <c r="AF140" s="11" t="s">
        <v>1300</v>
      </c>
      <c r="AG140" s="18">
        <v>46287.76011574074</v>
      </c>
      <c r="AH140" s="18">
        <v>46287.76018518519</v>
      </c>
      <c r="AI140" s="11"/>
      <c r="AJ140" s="11"/>
      <c r="AK140" s="11">
        <v>18234.0</v>
      </c>
      <c r="AL140" s="21" t="s">
        <v>75</v>
      </c>
      <c r="AM140" s="16" t="s">
        <v>95</v>
      </c>
      <c r="AN140" s="16"/>
      <c r="AO140" s="23"/>
      <c r="AP140" s="16" t="s">
        <v>76</v>
      </c>
      <c r="AQ140" s="16">
        <v>4291.0</v>
      </c>
      <c r="AR140" s="16"/>
      <c r="AS140" s="11" t="s">
        <v>298</v>
      </c>
      <c r="AT140" s="11" t="s">
        <v>717</v>
      </c>
      <c r="AU140" s="11" t="s">
        <v>1296</v>
      </c>
      <c r="AV140" s="11">
        <v>5.6479684E7</v>
      </c>
      <c r="AW140" s="11" t="s">
        <v>99</v>
      </c>
      <c r="AX140" s="11">
        <v>1.154668166E9</v>
      </c>
      <c r="AY140" s="11" t="s">
        <v>1297</v>
      </c>
      <c r="AZ140" s="24">
        <v>42942.0</v>
      </c>
      <c r="BA140" s="11" t="s">
        <v>1298</v>
      </c>
      <c r="BB140" s="11" t="s">
        <v>101</v>
      </c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</row>
    <row r="141" ht="19.5" customHeight="1">
      <c r="A141" s="10" t="b">
        <v>0</v>
      </c>
      <c r="B141" s="11"/>
      <c r="C141" s="13" t="s">
        <v>60</v>
      </c>
      <c r="D141" s="14" t="s">
        <v>60</v>
      </c>
      <c r="E141" s="11"/>
      <c r="F141" s="15" t="s">
        <v>4</v>
      </c>
      <c r="G141" s="16">
        <v>575.0</v>
      </c>
      <c r="H141" s="16"/>
      <c r="I141" s="16">
        <v>47301.0</v>
      </c>
      <c r="J141" s="11" t="s">
        <v>61</v>
      </c>
      <c r="K141" s="11" t="s">
        <v>62</v>
      </c>
      <c r="L141" s="18">
        <v>46287.647361111114</v>
      </c>
      <c r="M141" s="18">
        <v>46287.64739583333</v>
      </c>
      <c r="N141" s="11" t="s">
        <v>63</v>
      </c>
      <c r="O141" s="11">
        <v>0.0</v>
      </c>
      <c r="P141" s="11" t="s">
        <v>1301</v>
      </c>
      <c r="Q141" s="11" t="s">
        <v>1302</v>
      </c>
      <c r="R141" s="11"/>
      <c r="S141" s="11" t="s">
        <v>1303</v>
      </c>
      <c r="T141" s="11"/>
      <c r="U141" s="11" t="s">
        <v>493</v>
      </c>
      <c r="V141" s="11" t="s">
        <v>126</v>
      </c>
      <c r="W141" s="11">
        <v>1407.0</v>
      </c>
      <c r="X141" s="11" t="s">
        <v>69</v>
      </c>
      <c r="Y141" s="11" t="s">
        <v>1304</v>
      </c>
      <c r="Z141" s="11">
        <v>1.136996219E9</v>
      </c>
      <c r="AA141" s="11" t="s">
        <v>71</v>
      </c>
      <c r="AB141" s="11"/>
      <c r="AC141" s="11"/>
      <c r="AD141" s="18">
        <v>46287.64739583333</v>
      </c>
      <c r="AE141" s="11" t="s">
        <v>1305</v>
      </c>
      <c r="AF141" s="11" t="s">
        <v>1306</v>
      </c>
      <c r="AG141" s="18">
        <v>46287.772361111114</v>
      </c>
      <c r="AH141" s="18">
        <v>46287.77239583333</v>
      </c>
      <c r="AI141" s="11"/>
      <c r="AJ141" s="18">
        <v>46287.77239583333</v>
      </c>
      <c r="AK141" s="11">
        <v>18234.0</v>
      </c>
      <c r="AL141" s="21" t="s">
        <v>75</v>
      </c>
      <c r="AM141" s="16"/>
      <c r="AN141" s="16"/>
      <c r="AO141" s="23" t="s">
        <v>1307</v>
      </c>
      <c r="AP141" s="16" t="s">
        <v>76</v>
      </c>
      <c r="AQ141" s="16">
        <v>2984.0</v>
      </c>
      <c r="AR141" s="16"/>
      <c r="AS141" s="11" t="s">
        <v>357</v>
      </c>
      <c r="AT141" s="11" t="s">
        <v>1301</v>
      </c>
      <c r="AU141" s="11" t="s">
        <v>1302</v>
      </c>
      <c r="AV141" s="11">
        <v>5.3896167E7</v>
      </c>
      <c r="AW141" s="11" t="s">
        <v>99</v>
      </c>
      <c r="AX141" s="11">
        <v>1.136996219E9</v>
      </c>
      <c r="AY141" s="11" t="s">
        <v>1304</v>
      </c>
      <c r="AZ141" s="31">
        <v>41717.0</v>
      </c>
      <c r="BA141" s="11" t="s">
        <v>100</v>
      </c>
      <c r="BB141" s="11" t="s">
        <v>81</v>
      </c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</row>
    <row r="142" ht="19.5" customHeight="1">
      <c r="A142" s="10" t="b">
        <v>0</v>
      </c>
      <c r="B142" s="11"/>
      <c r="C142" s="13" t="s">
        <v>59</v>
      </c>
      <c r="D142" s="14" t="s">
        <v>59</v>
      </c>
      <c r="E142" s="11"/>
      <c r="F142" s="15" t="s">
        <v>4</v>
      </c>
      <c r="G142" s="16">
        <v>577.0</v>
      </c>
      <c r="H142" s="16"/>
      <c r="I142" s="16">
        <v>47303.0</v>
      </c>
      <c r="J142" s="11" t="s">
        <v>61</v>
      </c>
      <c r="K142" s="11" t="s">
        <v>62</v>
      </c>
      <c r="L142" s="18">
        <v>46287.66892361111</v>
      </c>
      <c r="M142" s="18">
        <v>46287.66898148148</v>
      </c>
      <c r="N142" s="11" t="s">
        <v>63</v>
      </c>
      <c r="O142" s="11">
        <v>0.0</v>
      </c>
      <c r="P142" s="11" t="s">
        <v>261</v>
      </c>
      <c r="Q142" s="11" t="s">
        <v>1308</v>
      </c>
      <c r="R142" s="11"/>
      <c r="S142" s="11" t="s">
        <v>1309</v>
      </c>
      <c r="T142" s="11"/>
      <c r="U142" s="11" t="s">
        <v>493</v>
      </c>
      <c r="V142" s="11" t="s">
        <v>68</v>
      </c>
      <c r="W142" s="11">
        <v>1642.0</v>
      </c>
      <c r="X142" s="11" t="s">
        <v>69</v>
      </c>
      <c r="Y142" s="11" t="s">
        <v>1310</v>
      </c>
      <c r="Z142" s="11">
        <v>5.491164481964E12</v>
      </c>
      <c r="AA142" s="11" t="s">
        <v>71</v>
      </c>
      <c r="AB142" s="11"/>
      <c r="AC142" s="11"/>
      <c r="AD142" s="11"/>
      <c r="AE142" s="11" t="s">
        <v>1311</v>
      </c>
      <c r="AF142" s="11" t="s">
        <v>1312</v>
      </c>
      <c r="AG142" s="18">
        <v>46287.79392361111</v>
      </c>
      <c r="AH142" s="18">
        <v>46287.79398148148</v>
      </c>
      <c r="AI142" s="11"/>
      <c r="AJ142" s="11"/>
      <c r="AK142" s="11">
        <v>18234.0</v>
      </c>
      <c r="AL142" s="21" t="s">
        <v>75</v>
      </c>
      <c r="AM142" s="16"/>
      <c r="AN142" s="16"/>
      <c r="AO142" s="23" t="s">
        <v>1313</v>
      </c>
      <c r="AP142" s="16" t="s">
        <v>76</v>
      </c>
      <c r="AQ142" s="16">
        <v>3208.0</v>
      </c>
      <c r="AR142" s="16"/>
      <c r="AS142" s="10" t="s">
        <v>357</v>
      </c>
      <c r="AT142" s="11" t="s">
        <v>299</v>
      </c>
      <c r="AU142" s="11" t="s">
        <v>1314</v>
      </c>
      <c r="AV142" s="11">
        <v>5.2442881E7</v>
      </c>
      <c r="AW142" s="11" t="s">
        <v>99</v>
      </c>
      <c r="AX142" s="11">
        <v>1.164481964E9</v>
      </c>
      <c r="AY142" s="11" t="s">
        <v>1310</v>
      </c>
      <c r="AZ142" s="31">
        <v>41010.0</v>
      </c>
      <c r="BA142" s="11" t="s">
        <v>144</v>
      </c>
      <c r="BB142" s="11" t="s">
        <v>81</v>
      </c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</row>
    <row r="143" ht="19.5" customHeight="1">
      <c r="A143" s="10" t="b">
        <v>0</v>
      </c>
      <c r="B143" s="11"/>
      <c r="C143" s="13" t="s">
        <v>60</v>
      </c>
      <c r="D143" s="14" t="s">
        <v>60</v>
      </c>
      <c r="E143" s="11"/>
      <c r="F143" s="15" t="s">
        <v>4</v>
      </c>
      <c r="G143" s="16">
        <v>585.0</v>
      </c>
      <c r="H143" s="16"/>
      <c r="I143" s="16">
        <v>47311.0</v>
      </c>
      <c r="J143" s="11" t="s">
        <v>61</v>
      </c>
      <c r="K143" s="11" t="s">
        <v>62</v>
      </c>
      <c r="L143" s="18">
        <v>46287.69142361111</v>
      </c>
      <c r="M143" s="18">
        <v>46287.691469907404</v>
      </c>
      <c r="N143" s="11" t="s">
        <v>63</v>
      </c>
      <c r="O143" s="11">
        <v>0.0</v>
      </c>
      <c r="P143" s="11" t="s">
        <v>1315</v>
      </c>
      <c r="Q143" s="11" t="s">
        <v>1316</v>
      </c>
      <c r="R143" s="11"/>
      <c r="S143" s="11" t="s">
        <v>1317</v>
      </c>
      <c r="T143" s="11" t="s">
        <v>1318</v>
      </c>
      <c r="U143" s="11" t="s">
        <v>1319</v>
      </c>
      <c r="V143" s="11" t="s">
        <v>68</v>
      </c>
      <c r="W143" s="11">
        <v>2800.0</v>
      </c>
      <c r="X143" s="11" t="s">
        <v>69</v>
      </c>
      <c r="Y143" s="11" t="s">
        <v>1320</v>
      </c>
      <c r="Z143" s="11">
        <v>3.487239894E9</v>
      </c>
      <c r="AA143" s="11" t="s">
        <v>71</v>
      </c>
      <c r="AB143" s="11"/>
      <c r="AC143" s="11"/>
      <c r="AD143" s="18">
        <v>46287.691469907404</v>
      </c>
      <c r="AE143" s="11" t="s">
        <v>1321</v>
      </c>
      <c r="AF143" s="11" t="s">
        <v>1322</v>
      </c>
      <c r="AG143" s="18">
        <v>46287.81642361111</v>
      </c>
      <c r="AH143" s="18">
        <v>46287.816469907404</v>
      </c>
      <c r="AI143" s="11"/>
      <c r="AJ143" s="18">
        <v>46287.816469907404</v>
      </c>
      <c r="AK143" s="11">
        <v>18234.0</v>
      </c>
      <c r="AL143" s="21" t="s">
        <v>75</v>
      </c>
      <c r="AM143" s="16"/>
      <c r="AN143" s="14" t="s">
        <v>39</v>
      </c>
      <c r="AO143" s="23"/>
      <c r="AP143" s="16" t="s">
        <v>76</v>
      </c>
      <c r="AQ143" s="16">
        <v>3826.0</v>
      </c>
      <c r="AR143" s="16"/>
      <c r="AS143" s="11" t="s">
        <v>321</v>
      </c>
      <c r="AT143" s="11" t="s">
        <v>1323</v>
      </c>
      <c r="AU143" s="11" t="s">
        <v>1324</v>
      </c>
      <c r="AV143" s="11">
        <v>5.418218E7</v>
      </c>
      <c r="AW143" s="11" t="s">
        <v>79</v>
      </c>
      <c r="AX143" s="11">
        <v>3.487239894E9</v>
      </c>
      <c r="AY143" s="11" t="s">
        <v>1320</v>
      </c>
      <c r="AZ143" s="31">
        <v>41890.0</v>
      </c>
      <c r="BA143" s="11" t="s">
        <v>1325</v>
      </c>
      <c r="BB143" s="11" t="s">
        <v>101</v>
      </c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</row>
    <row r="144" ht="19.5" customHeight="1">
      <c r="A144" s="10" t="b">
        <v>0</v>
      </c>
      <c r="B144" s="11"/>
      <c r="C144" s="13" t="s">
        <v>60</v>
      </c>
      <c r="D144" s="14" t="s">
        <v>60</v>
      </c>
      <c r="E144" s="11"/>
      <c r="F144" s="15" t="s">
        <v>4</v>
      </c>
      <c r="G144" s="16">
        <v>589.0</v>
      </c>
      <c r="H144" s="16"/>
      <c r="I144" s="16">
        <v>47315.0</v>
      </c>
      <c r="J144" s="11" t="s">
        <v>61</v>
      </c>
      <c r="K144" s="11" t="s">
        <v>62</v>
      </c>
      <c r="L144" s="18">
        <v>46287.69503472222</v>
      </c>
      <c r="M144" s="18">
        <v>46287.69509259259</v>
      </c>
      <c r="N144" s="11" t="s">
        <v>63</v>
      </c>
      <c r="O144" s="11">
        <v>0.0</v>
      </c>
      <c r="P144" s="11" t="s">
        <v>1326</v>
      </c>
      <c r="Q144" s="11" t="s">
        <v>1079</v>
      </c>
      <c r="R144" s="11"/>
      <c r="S144" s="11" t="s">
        <v>1327</v>
      </c>
      <c r="T144" s="11"/>
      <c r="U144" s="11" t="s">
        <v>1328</v>
      </c>
      <c r="V144" s="11" t="s">
        <v>68</v>
      </c>
      <c r="W144" s="11">
        <v>1621.0</v>
      </c>
      <c r="X144" s="11" t="s">
        <v>69</v>
      </c>
      <c r="Y144" s="11" t="s">
        <v>1329</v>
      </c>
      <c r="Z144" s="11">
        <v>1.135152805E9</v>
      </c>
      <c r="AA144" s="11" t="s">
        <v>71</v>
      </c>
      <c r="AB144" s="11"/>
      <c r="AC144" s="11"/>
      <c r="AD144" s="18">
        <v>46287.69509259259</v>
      </c>
      <c r="AE144" s="11" t="s">
        <v>1330</v>
      </c>
      <c r="AF144" s="11" t="s">
        <v>1331</v>
      </c>
      <c r="AG144" s="18">
        <v>46287.82003472222</v>
      </c>
      <c r="AH144" s="18">
        <v>46287.82009259259</v>
      </c>
      <c r="AI144" s="11"/>
      <c r="AJ144" s="18">
        <v>46287.82009259259</v>
      </c>
      <c r="AK144" s="11">
        <v>18234.0</v>
      </c>
      <c r="AL144" s="21" t="s">
        <v>75</v>
      </c>
      <c r="AM144" s="16"/>
      <c r="AN144" s="16"/>
      <c r="AO144" s="23" t="s">
        <v>1332</v>
      </c>
      <c r="AP144" s="16" t="s">
        <v>76</v>
      </c>
      <c r="AQ144" s="16">
        <v>3502.0</v>
      </c>
      <c r="AR144" s="16"/>
      <c r="AS144" s="11" t="s">
        <v>612</v>
      </c>
      <c r="AT144" s="11" t="s">
        <v>162</v>
      </c>
      <c r="AU144" s="11" t="s">
        <v>1122</v>
      </c>
      <c r="AV144" s="11">
        <v>5.473345E7</v>
      </c>
      <c r="AW144" s="11" t="s">
        <v>99</v>
      </c>
      <c r="AX144" s="11">
        <v>1.135152805E9</v>
      </c>
      <c r="AY144" s="11" t="s">
        <v>1329</v>
      </c>
      <c r="AZ144" s="31">
        <v>42086.0</v>
      </c>
      <c r="BA144" s="11" t="s">
        <v>956</v>
      </c>
      <c r="BB144" s="11" t="s">
        <v>101</v>
      </c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</row>
    <row r="145" ht="19.5" customHeight="1">
      <c r="A145" s="10" t="b">
        <v>0</v>
      </c>
      <c r="B145" s="11"/>
      <c r="C145" s="13" t="s">
        <v>60</v>
      </c>
      <c r="D145" s="14" t="s">
        <v>60</v>
      </c>
      <c r="E145" s="11"/>
      <c r="F145" s="15" t="s">
        <v>4</v>
      </c>
      <c r="G145" s="16">
        <v>611.0</v>
      </c>
      <c r="H145" s="16"/>
      <c r="I145" s="16">
        <v>47338.0</v>
      </c>
      <c r="J145" s="11" t="s">
        <v>61</v>
      </c>
      <c r="K145" s="11" t="s">
        <v>62</v>
      </c>
      <c r="L145" s="18">
        <v>46287.740798611114</v>
      </c>
      <c r="M145" s="18">
        <v>46287.74084490741</v>
      </c>
      <c r="N145" s="11" t="s">
        <v>63</v>
      </c>
      <c r="O145" s="11">
        <v>0.0</v>
      </c>
      <c r="P145" s="11" t="s">
        <v>1333</v>
      </c>
      <c r="Q145" s="11" t="s">
        <v>1334</v>
      </c>
      <c r="R145" s="11"/>
      <c r="S145" s="11" t="s">
        <v>1335</v>
      </c>
      <c r="T145" s="11"/>
      <c r="U145" s="11" t="s">
        <v>316</v>
      </c>
      <c r="V145" s="11" t="s">
        <v>68</v>
      </c>
      <c r="W145" s="11">
        <v>2800.0</v>
      </c>
      <c r="X145" s="11" t="s">
        <v>69</v>
      </c>
      <c r="Y145" s="11" t="s">
        <v>1336</v>
      </c>
      <c r="Z145" s="11">
        <v>3.48767961E9</v>
      </c>
      <c r="AA145" s="11" t="s">
        <v>71</v>
      </c>
      <c r="AB145" s="11"/>
      <c r="AC145" s="11"/>
      <c r="AD145" s="11"/>
      <c r="AE145" s="11" t="s">
        <v>1337</v>
      </c>
      <c r="AF145" s="11" t="s">
        <v>1338</v>
      </c>
      <c r="AG145" s="18">
        <v>46287.865798611114</v>
      </c>
      <c r="AH145" s="18">
        <v>46287.86584490741</v>
      </c>
      <c r="AI145" s="11"/>
      <c r="AJ145" s="11"/>
      <c r="AK145" s="11">
        <v>18234.0</v>
      </c>
      <c r="AL145" s="21" t="s">
        <v>75</v>
      </c>
      <c r="AM145" s="16"/>
      <c r="AN145" s="14" t="s">
        <v>39</v>
      </c>
      <c r="AO145" s="23"/>
      <c r="AP145" s="16" t="s">
        <v>76</v>
      </c>
      <c r="AQ145" s="16">
        <v>3834.0</v>
      </c>
      <c r="AR145" s="16"/>
      <c r="AS145" s="11" t="s">
        <v>321</v>
      </c>
      <c r="AT145" s="11" t="s">
        <v>359</v>
      </c>
      <c r="AU145" s="11" t="s">
        <v>1339</v>
      </c>
      <c r="AV145" s="11">
        <v>5.5192405E7</v>
      </c>
      <c r="AW145" s="11" t="s">
        <v>79</v>
      </c>
      <c r="AX145" s="11">
        <v>3.48767961E9</v>
      </c>
      <c r="AY145" s="11" t="s">
        <v>1336</v>
      </c>
      <c r="AZ145" s="24">
        <v>42331.0</v>
      </c>
      <c r="BA145" s="11" t="s">
        <v>1340</v>
      </c>
      <c r="BB145" s="11" t="s">
        <v>101</v>
      </c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</row>
    <row r="146" ht="19.5" customHeight="1">
      <c r="A146" s="10" t="b">
        <v>0</v>
      </c>
      <c r="B146" s="11"/>
      <c r="C146" s="13" t="s">
        <v>60</v>
      </c>
      <c r="D146" s="14" t="s">
        <v>60</v>
      </c>
      <c r="E146" s="11"/>
      <c r="F146" s="15" t="s">
        <v>4</v>
      </c>
      <c r="G146" s="16">
        <v>613.0</v>
      </c>
      <c r="H146" s="16"/>
      <c r="I146" s="16">
        <v>47340.0</v>
      </c>
      <c r="J146" s="11" t="s">
        <v>61</v>
      </c>
      <c r="K146" s="11" t="s">
        <v>62</v>
      </c>
      <c r="L146" s="18">
        <v>46287.74255787037</v>
      </c>
      <c r="M146" s="18">
        <v>46287.74259259259</v>
      </c>
      <c r="N146" s="11" t="s">
        <v>63</v>
      </c>
      <c r="O146" s="11">
        <v>0.0</v>
      </c>
      <c r="P146" s="11" t="s">
        <v>1341</v>
      </c>
      <c r="Q146" s="11" t="s">
        <v>1342</v>
      </c>
      <c r="R146" s="11"/>
      <c r="S146" s="11" t="s">
        <v>1343</v>
      </c>
      <c r="T146" s="11" t="s">
        <v>1344</v>
      </c>
      <c r="U146" s="11" t="s">
        <v>276</v>
      </c>
      <c r="V146" s="11" t="s">
        <v>68</v>
      </c>
      <c r="W146" s="11">
        <v>1428.0</v>
      </c>
      <c r="X146" s="11" t="s">
        <v>69</v>
      </c>
      <c r="Y146" s="11" t="s">
        <v>1345</v>
      </c>
      <c r="Z146" s="11">
        <v>1.14447998E9</v>
      </c>
      <c r="AA146" s="11" t="s">
        <v>71</v>
      </c>
      <c r="AB146" s="11"/>
      <c r="AC146" s="11"/>
      <c r="AD146" s="11"/>
      <c r="AE146" s="11" t="s">
        <v>1346</v>
      </c>
      <c r="AF146" s="11" t="s">
        <v>1347</v>
      </c>
      <c r="AG146" s="18">
        <v>46287.86755787037</v>
      </c>
      <c r="AH146" s="18">
        <v>46287.86759259259</v>
      </c>
      <c r="AI146" s="11"/>
      <c r="AJ146" s="11"/>
      <c r="AK146" s="11">
        <v>18234.0</v>
      </c>
      <c r="AL146" s="21" t="s">
        <v>75</v>
      </c>
      <c r="AM146" s="16" t="s">
        <v>95</v>
      </c>
      <c r="AN146" s="14" t="s">
        <v>39</v>
      </c>
      <c r="AO146" s="23" t="s">
        <v>1348</v>
      </c>
      <c r="AP146" s="16" t="s">
        <v>76</v>
      </c>
      <c r="AQ146" s="16">
        <v>7155.0</v>
      </c>
      <c r="AR146" s="16"/>
      <c r="AS146" s="11" t="s">
        <v>374</v>
      </c>
      <c r="AT146" s="11" t="s">
        <v>1349</v>
      </c>
      <c r="AU146" s="11" t="s">
        <v>1350</v>
      </c>
      <c r="AV146" s="11">
        <v>5.6276128E7</v>
      </c>
      <c r="AW146" s="11" t="s">
        <v>79</v>
      </c>
      <c r="AX146" s="11">
        <v>1.14447998E9</v>
      </c>
      <c r="AY146" s="11" t="s">
        <v>1345</v>
      </c>
      <c r="AZ146" s="31">
        <v>42817.0</v>
      </c>
      <c r="BA146" s="11" t="s">
        <v>100</v>
      </c>
      <c r="BB146" s="11" t="s">
        <v>81</v>
      </c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</row>
    <row r="147" ht="19.5" customHeight="1">
      <c r="A147" s="10" t="b">
        <v>0</v>
      </c>
      <c r="B147" s="11"/>
      <c r="C147" s="13" t="s">
        <v>59</v>
      </c>
      <c r="D147" s="14" t="s">
        <v>60</v>
      </c>
      <c r="E147" s="11"/>
      <c r="F147" s="15" t="s">
        <v>4</v>
      </c>
      <c r="G147" s="16">
        <v>614.0</v>
      </c>
      <c r="H147" s="16"/>
      <c r="I147" s="16">
        <v>47341.0</v>
      </c>
      <c r="J147" s="11" t="s">
        <v>61</v>
      </c>
      <c r="K147" s="11" t="s">
        <v>62</v>
      </c>
      <c r="L147" s="18">
        <v>46287.74476851852</v>
      </c>
      <c r="M147" s="18">
        <v>46287.74480324074</v>
      </c>
      <c r="N147" s="11" t="s">
        <v>63</v>
      </c>
      <c r="O147" s="11">
        <v>0.0</v>
      </c>
      <c r="P147" s="11" t="s">
        <v>145</v>
      </c>
      <c r="Q147" s="11" t="s">
        <v>1351</v>
      </c>
      <c r="R147" s="11"/>
      <c r="S147" s="11" t="s">
        <v>1352</v>
      </c>
      <c r="T147" s="11"/>
      <c r="U147" s="11" t="s">
        <v>1353</v>
      </c>
      <c r="V147" s="11" t="s">
        <v>68</v>
      </c>
      <c r="W147" s="11">
        <v>1603.0</v>
      </c>
      <c r="X147" s="11" t="s">
        <v>69</v>
      </c>
      <c r="Y147" s="11" t="s">
        <v>1354</v>
      </c>
      <c r="Z147" s="11">
        <v>1.150298772E9</v>
      </c>
      <c r="AA147" s="11" t="s">
        <v>71</v>
      </c>
      <c r="AB147" s="11"/>
      <c r="AC147" s="11"/>
      <c r="AD147" s="18">
        <v>46287.74480324074</v>
      </c>
      <c r="AE147" s="11" t="s">
        <v>1355</v>
      </c>
      <c r="AF147" s="11" t="s">
        <v>1356</v>
      </c>
      <c r="AG147" s="18">
        <v>46287.86976851852</v>
      </c>
      <c r="AH147" s="18">
        <v>46287.86980324074</v>
      </c>
      <c r="AI147" s="11"/>
      <c r="AJ147" s="18">
        <v>46287.86980324074</v>
      </c>
      <c r="AK147" s="11">
        <v>18234.0</v>
      </c>
      <c r="AL147" s="21" t="s">
        <v>75</v>
      </c>
      <c r="AM147" s="16"/>
      <c r="AN147" s="14" t="s">
        <v>39</v>
      </c>
      <c r="AO147" s="23" t="s">
        <v>1357</v>
      </c>
      <c r="AP147" s="16" t="s">
        <v>76</v>
      </c>
      <c r="AQ147" s="16">
        <v>3640.0</v>
      </c>
      <c r="AR147" s="16"/>
      <c r="AS147" s="11" t="s">
        <v>269</v>
      </c>
      <c r="AT147" s="11" t="s">
        <v>1334</v>
      </c>
      <c r="AU147" s="11" t="s">
        <v>1358</v>
      </c>
      <c r="AV147" s="11">
        <v>5.3470494E7</v>
      </c>
      <c r="AW147" s="11" t="s">
        <v>79</v>
      </c>
      <c r="AX147" s="11">
        <v>1.15298772E8</v>
      </c>
      <c r="AY147" s="11" t="s">
        <v>1354</v>
      </c>
      <c r="AZ147" s="24">
        <v>41568.0</v>
      </c>
      <c r="BA147" s="11" t="s">
        <v>1359</v>
      </c>
      <c r="BB147" s="11" t="s">
        <v>101</v>
      </c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</row>
    <row r="148" ht="19.5" customHeight="1">
      <c r="A148" s="10" t="b">
        <v>0</v>
      </c>
      <c r="B148" s="11"/>
      <c r="C148" s="13" t="s">
        <v>60</v>
      </c>
      <c r="D148" s="14" t="s">
        <v>60</v>
      </c>
      <c r="E148" s="11"/>
      <c r="F148" s="15" t="s">
        <v>4</v>
      </c>
      <c r="G148" s="16">
        <v>625.0</v>
      </c>
      <c r="H148" s="16"/>
      <c r="I148" s="16">
        <v>47352.0</v>
      </c>
      <c r="J148" s="11" t="s">
        <v>402</v>
      </c>
      <c r="K148" s="11" t="s">
        <v>62</v>
      </c>
      <c r="L148" s="18">
        <v>46287.77224537037</v>
      </c>
      <c r="M148" s="18">
        <v>46287.77224537037</v>
      </c>
      <c r="N148" s="11" t="s">
        <v>63</v>
      </c>
      <c r="O148" s="11">
        <v>0.0</v>
      </c>
      <c r="P148" s="11" t="s">
        <v>145</v>
      </c>
      <c r="Q148" s="11" t="s">
        <v>1360</v>
      </c>
      <c r="R148" s="11"/>
      <c r="S148" s="11" t="s">
        <v>1361</v>
      </c>
      <c r="T148" s="11">
        <v>1.0</v>
      </c>
      <c r="U148" s="11" t="s">
        <v>235</v>
      </c>
      <c r="V148" s="11" t="s">
        <v>68</v>
      </c>
      <c r="W148" s="11">
        <v>1644.0</v>
      </c>
      <c r="X148" s="11" t="s">
        <v>69</v>
      </c>
      <c r="Y148" s="11" t="s">
        <v>1362</v>
      </c>
      <c r="Z148" s="11">
        <v>1.134014525E9</v>
      </c>
      <c r="AA148" s="11" t="s">
        <v>645</v>
      </c>
      <c r="AB148" s="11"/>
      <c r="AC148" s="11"/>
      <c r="AD148" s="11"/>
      <c r="AE148" s="11" t="s">
        <v>408</v>
      </c>
      <c r="AF148" s="11" t="s">
        <v>1363</v>
      </c>
      <c r="AG148" s="18">
        <v>46287.89724537037</v>
      </c>
      <c r="AH148" s="18">
        <v>46287.89724537037</v>
      </c>
      <c r="AI148" s="11"/>
      <c r="AJ148" s="11"/>
      <c r="AK148" s="11">
        <v>18234.0</v>
      </c>
      <c r="AL148" s="21" t="s">
        <v>75</v>
      </c>
      <c r="AM148" s="16"/>
      <c r="AN148" s="14" t="s">
        <v>39</v>
      </c>
      <c r="AO148" s="23"/>
      <c r="AP148" s="16" t="s">
        <v>76</v>
      </c>
      <c r="AQ148" s="16">
        <v>3846.0</v>
      </c>
      <c r="AR148" s="16"/>
      <c r="AS148" s="11" t="s">
        <v>298</v>
      </c>
      <c r="AT148" s="11" t="s">
        <v>198</v>
      </c>
      <c r="AU148" s="11" t="s">
        <v>1360</v>
      </c>
      <c r="AV148" s="11">
        <v>5.4055425E7</v>
      </c>
      <c r="AW148" s="11" t="s">
        <v>79</v>
      </c>
      <c r="AX148" s="11">
        <v>1.134014525E9</v>
      </c>
      <c r="AY148" s="11" t="s">
        <v>1362</v>
      </c>
      <c r="AZ148" s="24">
        <v>41765.0</v>
      </c>
      <c r="BA148" s="11" t="s">
        <v>738</v>
      </c>
      <c r="BB148" s="11" t="s">
        <v>101</v>
      </c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</row>
    <row r="149" ht="19.5" customHeight="1">
      <c r="A149" s="10" t="b">
        <v>0</v>
      </c>
      <c r="B149" s="11"/>
      <c r="C149" s="13" t="s">
        <v>60</v>
      </c>
      <c r="D149" s="14" t="s">
        <v>60</v>
      </c>
      <c r="E149" s="11"/>
      <c r="F149" s="15" t="s">
        <v>4</v>
      </c>
      <c r="G149" s="16">
        <v>633.0</v>
      </c>
      <c r="H149" s="16"/>
      <c r="I149" s="16">
        <v>47364.0</v>
      </c>
      <c r="J149" s="11" t="s">
        <v>61</v>
      </c>
      <c r="K149" s="11" t="s">
        <v>62</v>
      </c>
      <c r="L149" s="18">
        <v>46287.82829861111</v>
      </c>
      <c r="M149" s="18">
        <v>46287.82834490741</v>
      </c>
      <c r="N149" s="11" t="s">
        <v>63</v>
      </c>
      <c r="O149" s="11">
        <v>0.0</v>
      </c>
      <c r="P149" s="11" t="s">
        <v>1364</v>
      </c>
      <c r="Q149" s="11" t="s">
        <v>1365</v>
      </c>
      <c r="R149" s="11"/>
      <c r="S149" s="11" t="s">
        <v>1366</v>
      </c>
      <c r="T149" s="11">
        <v>14.0</v>
      </c>
      <c r="U149" s="11" t="s">
        <v>1328</v>
      </c>
      <c r="V149" s="11" t="s">
        <v>68</v>
      </c>
      <c r="W149" s="11">
        <v>1648.0</v>
      </c>
      <c r="X149" s="11" t="s">
        <v>69</v>
      </c>
      <c r="Y149" s="11" t="s">
        <v>1367</v>
      </c>
      <c r="Z149" s="11">
        <v>1.159736059E9</v>
      </c>
      <c r="AA149" s="11" t="s">
        <v>71</v>
      </c>
      <c r="AB149" s="11"/>
      <c r="AC149" s="11"/>
      <c r="AD149" s="18">
        <v>46287.82834490741</v>
      </c>
      <c r="AE149" s="11" t="s">
        <v>1368</v>
      </c>
      <c r="AF149" s="11" t="s">
        <v>1369</v>
      </c>
      <c r="AG149" s="18">
        <v>46287.95329861111</v>
      </c>
      <c r="AH149" s="18">
        <v>46287.95334490741</v>
      </c>
      <c r="AI149" s="11"/>
      <c r="AJ149" s="18">
        <v>46287.95334490741</v>
      </c>
      <c r="AK149" s="11">
        <v>18234.0</v>
      </c>
      <c r="AL149" s="21" t="s">
        <v>75</v>
      </c>
      <c r="AM149" s="16"/>
      <c r="AN149" s="14" t="s">
        <v>39</v>
      </c>
      <c r="AO149" s="23" t="s">
        <v>1370</v>
      </c>
      <c r="AP149" s="16" t="s">
        <v>76</v>
      </c>
      <c r="AQ149" s="16">
        <v>4109.0</v>
      </c>
      <c r="AR149" s="16"/>
      <c r="AS149" s="11" t="s">
        <v>1068</v>
      </c>
      <c r="AT149" s="11" t="s">
        <v>1371</v>
      </c>
      <c r="AU149" s="11" t="s">
        <v>1372</v>
      </c>
      <c r="AV149" s="11">
        <v>5.3986688E7</v>
      </c>
      <c r="AW149" s="11" t="s">
        <v>79</v>
      </c>
      <c r="AX149" s="11">
        <v>1.159736059E9</v>
      </c>
      <c r="AY149" s="11" t="s">
        <v>1367</v>
      </c>
      <c r="AZ149" s="24">
        <v>41765.0</v>
      </c>
      <c r="BA149" s="11">
        <v>9.458155401E9</v>
      </c>
      <c r="BB149" s="11" t="s">
        <v>81</v>
      </c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</row>
    <row r="150" ht="19.5" customHeight="1">
      <c r="A150" s="10" t="b">
        <v>0</v>
      </c>
      <c r="B150" s="11"/>
      <c r="C150" s="13" t="s">
        <v>60</v>
      </c>
      <c r="D150" s="14" t="s">
        <v>60</v>
      </c>
      <c r="E150" s="11"/>
      <c r="F150" s="15" t="s">
        <v>4</v>
      </c>
      <c r="G150" s="16">
        <v>636.0</v>
      </c>
      <c r="H150" s="16"/>
      <c r="I150" s="16">
        <v>47367.0</v>
      </c>
      <c r="J150" s="11" t="s">
        <v>61</v>
      </c>
      <c r="K150" s="11" t="s">
        <v>62</v>
      </c>
      <c r="L150" s="18">
        <v>46287.84104166667</v>
      </c>
      <c r="M150" s="18">
        <v>46287.84108796297</v>
      </c>
      <c r="N150" s="11" t="s">
        <v>63</v>
      </c>
      <c r="O150" s="11">
        <v>0.0</v>
      </c>
      <c r="P150" s="11" t="s">
        <v>1373</v>
      </c>
      <c r="Q150" s="11" t="s">
        <v>1374</v>
      </c>
      <c r="R150" s="11"/>
      <c r="S150" s="11" t="s">
        <v>1375</v>
      </c>
      <c r="T150" s="11"/>
      <c r="U150" s="11" t="s">
        <v>692</v>
      </c>
      <c r="V150" s="11" t="s">
        <v>68</v>
      </c>
      <c r="W150" s="11">
        <v>1900.0</v>
      </c>
      <c r="X150" s="11" t="s">
        <v>69</v>
      </c>
      <c r="Y150" s="11" t="s">
        <v>1376</v>
      </c>
      <c r="Z150" s="11" t="s">
        <v>1377</v>
      </c>
      <c r="AA150" s="11" t="s">
        <v>71</v>
      </c>
      <c r="AB150" s="11"/>
      <c r="AC150" s="11"/>
      <c r="AD150" s="11"/>
      <c r="AE150" s="11" t="s">
        <v>1378</v>
      </c>
      <c r="AF150" s="11" t="s">
        <v>1379</v>
      </c>
      <c r="AG150" s="18">
        <v>46287.96604166667</v>
      </c>
      <c r="AH150" s="18">
        <v>46287.96608796297</v>
      </c>
      <c r="AI150" s="11"/>
      <c r="AJ150" s="11"/>
      <c r="AK150" s="11">
        <v>18234.0</v>
      </c>
      <c r="AL150" s="21" t="s">
        <v>75</v>
      </c>
      <c r="AM150" s="16"/>
      <c r="AN150" s="14" t="s">
        <v>39</v>
      </c>
      <c r="AO150" s="23"/>
      <c r="AP150" s="16" t="s">
        <v>76</v>
      </c>
      <c r="AQ150" s="16">
        <v>3553.0</v>
      </c>
      <c r="AR150" s="16"/>
      <c r="AS150" s="11" t="s">
        <v>433</v>
      </c>
      <c r="AT150" s="11" t="s">
        <v>346</v>
      </c>
      <c r="AU150" s="11" t="s">
        <v>1380</v>
      </c>
      <c r="AV150" s="11">
        <v>5.4230655E7</v>
      </c>
      <c r="AW150" s="11" t="s">
        <v>79</v>
      </c>
      <c r="AX150" s="11">
        <v>2.215068608E9</v>
      </c>
      <c r="AY150" s="11" t="s">
        <v>1376</v>
      </c>
      <c r="AZ150" s="24">
        <v>41900.0</v>
      </c>
      <c r="BA150" s="11" t="s">
        <v>436</v>
      </c>
      <c r="BB150" s="11" t="s">
        <v>81</v>
      </c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</row>
    <row r="151" ht="19.5" customHeight="1">
      <c r="A151" s="10" t="b">
        <v>0</v>
      </c>
      <c r="B151" s="11"/>
      <c r="C151" s="13" t="s">
        <v>60</v>
      </c>
      <c r="D151" s="14" t="s">
        <v>60</v>
      </c>
      <c r="E151" s="11"/>
      <c r="F151" s="15" t="s">
        <v>4</v>
      </c>
      <c r="G151" s="16">
        <v>637.0</v>
      </c>
      <c r="H151" s="16"/>
      <c r="I151" s="16">
        <v>47368.0</v>
      </c>
      <c r="J151" s="11" t="s">
        <v>61</v>
      </c>
      <c r="K151" s="11" t="s">
        <v>62</v>
      </c>
      <c r="L151" s="18">
        <v>46287.844456018516</v>
      </c>
      <c r="M151" s="18">
        <v>46287.844513888886</v>
      </c>
      <c r="N151" s="11" t="s">
        <v>63</v>
      </c>
      <c r="O151" s="11">
        <v>0.0</v>
      </c>
      <c r="P151" s="11" t="s">
        <v>490</v>
      </c>
      <c r="Q151" s="11" t="s">
        <v>1381</v>
      </c>
      <c r="R151" s="11"/>
      <c r="S151" s="11">
        <v>139.0</v>
      </c>
      <c r="T151" s="11">
        <v>4049.0</v>
      </c>
      <c r="U151" s="11" t="s">
        <v>692</v>
      </c>
      <c r="V151" s="11" t="s">
        <v>68</v>
      </c>
      <c r="W151" s="11">
        <v>1896.0</v>
      </c>
      <c r="X151" s="11" t="s">
        <v>69</v>
      </c>
      <c r="Y151" s="11" t="s">
        <v>1382</v>
      </c>
      <c r="Z151" s="11">
        <v>2.214773923E9</v>
      </c>
      <c r="AA151" s="11" t="s">
        <v>71</v>
      </c>
      <c r="AB151" s="11"/>
      <c r="AC151" s="11"/>
      <c r="AD151" s="18">
        <v>46287.844513888886</v>
      </c>
      <c r="AE151" s="11" t="s">
        <v>1383</v>
      </c>
      <c r="AF151" s="11" t="s">
        <v>1384</v>
      </c>
      <c r="AG151" s="18">
        <v>46287.969456018516</v>
      </c>
      <c r="AH151" s="18">
        <v>46287.969513888886</v>
      </c>
      <c r="AI151" s="11"/>
      <c r="AJ151" s="18">
        <v>46287.969513888886</v>
      </c>
      <c r="AK151" s="11">
        <v>18234.0</v>
      </c>
      <c r="AL151" s="21" t="s">
        <v>75</v>
      </c>
      <c r="AM151" s="16"/>
      <c r="AN151" s="14" t="s">
        <v>39</v>
      </c>
      <c r="AO151" s="23"/>
      <c r="AP151" s="16" t="s">
        <v>76</v>
      </c>
      <c r="AQ151" s="16">
        <v>3392.0</v>
      </c>
      <c r="AR151" s="16"/>
      <c r="AS151" s="11" t="s">
        <v>433</v>
      </c>
      <c r="AT151" s="11" t="s">
        <v>1385</v>
      </c>
      <c r="AU151" s="11" t="s">
        <v>1386</v>
      </c>
      <c r="AV151" s="11">
        <v>5.1252024E7</v>
      </c>
      <c r="AW151" s="11" t="s">
        <v>79</v>
      </c>
      <c r="AX151" s="11">
        <v>2.214773923E9</v>
      </c>
      <c r="AY151" s="11" t="s">
        <v>1382</v>
      </c>
      <c r="AZ151" s="24">
        <v>40876.0</v>
      </c>
      <c r="BA151" s="11" t="s">
        <v>699</v>
      </c>
      <c r="BB151" s="11" t="s">
        <v>101</v>
      </c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</row>
    <row r="152" ht="19.5" customHeight="1">
      <c r="A152" s="10" t="b">
        <v>0</v>
      </c>
      <c r="B152" s="11"/>
      <c r="C152" s="13" t="s">
        <v>60</v>
      </c>
      <c r="D152" s="14" t="s">
        <v>60</v>
      </c>
      <c r="E152" s="11"/>
      <c r="F152" s="15" t="s">
        <v>4</v>
      </c>
      <c r="G152" s="16">
        <v>639.0</v>
      </c>
      <c r="H152" s="16"/>
      <c r="I152" s="16">
        <v>47370.0</v>
      </c>
      <c r="J152" s="11" t="s">
        <v>61</v>
      </c>
      <c r="K152" s="11" t="s">
        <v>62</v>
      </c>
      <c r="L152" s="18">
        <v>46287.85041666667</v>
      </c>
      <c r="M152" s="18">
        <v>46287.85046296296</v>
      </c>
      <c r="N152" s="11" t="s">
        <v>133</v>
      </c>
      <c r="O152" s="11">
        <v>0.0</v>
      </c>
      <c r="P152" s="11" t="s">
        <v>1387</v>
      </c>
      <c r="Q152" s="11" t="s">
        <v>1388</v>
      </c>
      <c r="R152" s="11"/>
      <c r="S152" s="11" t="s">
        <v>1389</v>
      </c>
      <c r="T152" s="11"/>
      <c r="U152" s="11" t="s">
        <v>549</v>
      </c>
      <c r="V152" s="11" t="s">
        <v>68</v>
      </c>
      <c r="W152" s="11">
        <v>1900.0</v>
      </c>
      <c r="X152" s="11" t="s">
        <v>69</v>
      </c>
      <c r="Y152" s="11" t="s">
        <v>1390</v>
      </c>
      <c r="Z152" s="11">
        <v>2.21558205E9</v>
      </c>
      <c r="AA152" s="11" t="s">
        <v>71</v>
      </c>
      <c r="AB152" s="11"/>
      <c r="AC152" s="11"/>
      <c r="AD152" s="11"/>
      <c r="AE152" s="11" t="s">
        <v>1391</v>
      </c>
      <c r="AF152" s="11" t="s">
        <v>1392</v>
      </c>
      <c r="AG152" s="18">
        <v>46287.97541666667</v>
      </c>
      <c r="AH152" s="18">
        <v>46287.97546296296</v>
      </c>
      <c r="AI152" s="11"/>
      <c r="AJ152" s="11"/>
      <c r="AK152" s="11">
        <v>18234.0</v>
      </c>
      <c r="AL152" s="21" t="s">
        <v>75</v>
      </c>
      <c r="AM152" s="16"/>
      <c r="AN152" s="14" t="s">
        <v>39</v>
      </c>
      <c r="AO152" s="23"/>
      <c r="AP152" s="16" t="s">
        <v>76</v>
      </c>
      <c r="AQ152" s="16">
        <v>3581.0</v>
      </c>
      <c r="AR152" s="16"/>
      <c r="AS152" s="11" t="s">
        <v>433</v>
      </c>
      <c r="AT152" s="11" t="s">
        <v>423</v>
      </c>
      <c r="AU152" s="11" t="s">
        <v>1393</v>
      </c>
      <c r="AV152" s="11">
        <v>5.138619E7</v>
      </c>
      <c r="AW152" s="11" t="s">
        <v>79</v>
      </c>
      <c r="AX152" s="11">
        <v>2.21558205E9</v>
      </c>
      <c r="AY152" s="11" t="s">
        <v>1390</v>
      </c>
      <c r="AZ152" s="24">
        <v>40809.0</v>
      </c>
      <c r="BA152" s="11" t="s">
        <v>436</v>
      </c>
      <c r="BB152" s="11" t="s">
        <v>101</v>
      </c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</row>
    <row r="153" ht="19.5" customHeight="1">
      <c r="A153" s="10" t="b">
        <v>0</v>
      </c>
      <c r="B153" s="11"/>
      <c r="C153" s="13" t="s">
        <v>60</v>
      </c>
      <c r="D153" s="14" t="s">
        <v>60</v>
      </c>
      <c r="E153" s="11"/>
      <c r="F153" s="15" t="s">
        <v>4</v>
      </c>
      <c r="G153" s="16">
        <v>644.0</v>
      </c>
      <c r="H153" s="16"/>
      <c r="I153" s="16">
        <v>47375.0</v>
      </c>
      <c r="J153" s="11" t="s">
        <v>61</v>
      </c>
      <c r="K153" s="11" t="s">
        <v>62</v>
      </c>
      <c r="L153" s="18">
        <v>46287.87515046296</v>
      </c>
      <c r="M153" s="18">
        <v>46287.87519675926</v>
      </c>
      <c r="N153" s="11" t="s">
        <v>63</v>
      </c>
      <c r="O153" s="11">
        <v>0.0</v>
      </c>
      <c r="P153" s="11" t="s">
        <v>1078</v>
      </c>
      <c r="Q153" s="11" t="s">
        <v>1394</v>
      </c>
      <c r="R153" s="11"/>
      <c r="S153" s="11" t="s">
        <v>1395</v>
      </c>
      <c r="T153" s="11" t="s">
        <v>1396</v>
      </c>
      <c r="U153" s="11" t="s">
        <v>549</v>
      </c>
      <c r="V153" s="11" t="s">
        <v>126</v>
      </c>
      <c r="W153" s="11">
        <v>1900.0</v>
      </c>
      <c r="X153" s="11" t="s">
        <v>69</v>
      </c>
      <c r="Y153" s="11" t="s">
        <v>1397</v>
      </c>
      <c r="Z153" s="11">
        <v>2.215374995E9</v>
      </c>
      <c r="AA153" s="11" t="s">
        <v>71</v>
      </c>
      <c r="AB153" s="11"/>
      <c r="AC153" s="11"/>
      <c r="AD153" s="18">
        <v>46287.87519675926</v>
      </c>
      <c r="AE153" s="11" t="s">
        <v>1398</v>
      </c>
      <c r="AF153" s="11" t="s">
        <v>1399</v>
      </c>
      <c r="AG153" s="18">
        <v>46288.00015046296</v>
      </c>
      <c r="AH153" s="18">
        <v>46288.00019675926</v>
      </c>
      <c r="AI153" s="11"/>
      <c r="AJ153" s="18">
        <v>46288.00019675926</v>
      </c>
      <c r="AK153" s="11">
        <v>18234.0</v>
      </c>
      <c r="AL153" s="21" t="s">
        <v>75</v>
      </c>
      <c r="AM153" s="16"/>
      <c r="AN153" s="16"/>
      <c r="AO153" s="23" t="s">
        <v>1400</v>
      </c>
      <c r="AP153" s="16" t="s">
        <v>76</v>
      </c>
      <c r="AQ153" s="16">
        <v>3637.0</v>
      </c>
      <c r="AR153" s="16"/>
      <c r="AS153" s="11" t="s">
        <v>433</v>
      </c>
      <c r="AT153" s="11" t="s">
        <v>1401</v>
      </c>
      <c r="AU153" s="11" t="s">
        <v>1394</v>
      </c>
      <c r="AV153" s="11">
        <v>5.2660806E7</v>
      </c>
      <c r="AW153" s="11" t="s">
        <v>99</v>
      </c>
      <c r="AX153" s="11">
        <v>2.215374995E9</v>
      </c>
      <c r="AY153" s="11" t="s">
        <v>1397</v>
      </c>
      <c r="AZ153" s="24">
        <v>41114.0</v>
      </c>
      <c r="BA153" s="11" t="s">
        <v>252</v>
      </c>
      <c r="BB153" s="11" t="s">
        <v>101</v>
      </c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</row>
    <row r="154" ht="19.5" customHeight="1">
      <c r="A154" s="10" t="b">
        <v>0</v>
      </c>
      <c r="B154" s="11"/>
      <c r="C154" s="13" t="s">
        <v>60</v>
      </c>
      <c r="D154" s="14" t="s">
        <v>60</v>
      </c>
      <c r="E154" s="11"/>
      <c r="F154" s="15" t="s">
        <v>4</v>
      </c>
      <c r="G154" s="16">
        <v>654.0</v>
      </c>
      <c r="H154" s="16"/>
      <c r="I154" s="16">
        <v>47385.0</v>
      </c>
      <c r="J154" s="11" t="s">
        <v>61</v>
      </c>
      <c r="K154" s="11" t="s">
        <v>62</v>
      </c>
      <c r="L154" s="18">
        <v>46288.5568287037</v>
      </c>
      <c r="M154" s="18">
        <v>46288.55684027778</v>
      </c>
      <c r="N154" s="11" t="s">
        <v>63</v>
      </c>
      <c r="O154" s="11">
        <v>0.0</v>
      </c>
      <c r="P154" s="11" t="s">
        <v>433</v>
      </c>
      <c r="Q154" s="11" t="s">
        <v>433</v>
      </c>
      <c r="R154" s="11"/>
      <c r="S154" s="11">
        <v>0.0</v>
      </c>
      <c r="T154" s="11"/>
      <c r="U154" s="11">
        <v>0.0</v>
      </c>
      <c r="V154" s="11" t="s">
        <v>68</v>
      </c>
      <c r="W154" s="11">
        <v>0.0</v>
      </c>
      <c r="X154" s="11" t="s">
        <v>69</v>
      </c>
      <c r="Y154" s="11" t="s">
        <v>1402</v>
      </c>
      <c r="Z154" s="11">
        <v>0.0</v>
      </c>
      <c r="AA154" s="11" t="s">
        <v>645</v>
      </c>
      <c r="AB154" s="11"/>
      <c r="AC154" s="11"/>
      <c r="AD154" s="11"/>
      <c r="AE154" s="11" t="s">
        <v>1403</v>
      </c>
      <c r="AF154" s="11" t="s">
        <v>1404</v>
      </c>
      <c r="AG154" s="18">
        <v>46288.6818287037</v>
      </c>
      <c r="AH154" s="18">
        <v>46288.68184027778</v>
      </c>
      <c r="AI154" s="11"/>
      <c r="AJ154" s="11"/>
      <c r="AK154" s="11">
        <v>18234.0</v>
      </c>
      <c r="AL154" s="21" t="s">
        <v>75</v>
      </c>
      <c r="AM154" s="16"/>
      <c r="AN154" s="16"/>
      <c r="AO154" s="23"/>
      <c r="AP154" s="16" t="s">
        <v>76</v>
      </c>
      <c r="AQ154" s="16">
        <v>3286.0</v>
      </c>
      <c r="AR154" s="16"/>
      <c r="AS154" s="11" t="s">
        <v>433</v>
      </c>
      <c r="AT154" s="11" t="s">
        <v>717</v>
      </c>
      <c r="AU154" s="11" t="s">
        <v>1405</v>
      </c>
      <c r="AV154" s="11">
        <v>5.3304715E7</v>
      </c>
      <c r="AW154" s="11" t="s">
        <v>99</v>
      </c>
      <c r="AX154" s="11">
        <v>1.156922807E9</v>
      </c>
      <c r="AY154" s="11" t="s">
        <v>1402</v>
      </c>
      <c r="AZ154" s="24">
        <v>41450.0</v>
      </c>
      <c r="BA154" s="11" t="s">
        <v>436</v>
      </c>
      <c r="BB154" s="11" t="s">
        <v>81</v>
      </c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</row>
    <row r="155" ht="19.5" customHeight="1">
      <c r="A155" s="10" t="b">
        <v>0</v>
      </c>
      <c r="B155" s="11"/>
      <c r="C155" s="13" t="s">
        <v>60</v>
      </c>
      <c r="D155" s="14" t="s">
        <v>60</v>
      </c>
      <c r="E155" s="11"/>
      <c r="F155" s="15" t="s">
        <v>4</v>
      </c>
      <c r="G155" s="16">
        <v>655.0</v>
      </c>
      <c r="H155" s="16"/>
      <c r="I155" s="16">
        <v>47386.0</v>
      </c>
      <c r="J155" s="11" t="s">
        <v>61</v>
      </c>
      <c r="K155" s="11" t="s">
        <v>62</v>
      </c>
      <c r="L155" s="18">
        <v>46288.55877314815</v>
      </c>
      <c r="M155" s="18">
        <v>46288.55878472222</v>
      </c>
      <c r="N155" s="11" t="s">
        <v>63</v>
      </c>
      <c r="O155" s="11">
        <v>0.0</v>
      </c>
      <c r="P155" s="11" t="s">
        <v>433</v>
      </c>
      <c r="Q155" s="11" t="s">
        <v>433</v>
      </c>
      <c r="R155" s="11"/>
      <c r="S155" s="11">
        <v>0.0</v>
      </c>
      <c r="T155" s="11"/>
      <c r="U155" s="11">
        <v>0.0</v>
      </c>
      <c r="V155" s="11" t="s">
        <v>68</v>
      </c>
      <c r="W155" s="11">
        <v>0.0</v>
      </c>
      <c r="X155" s="11" t="s">
        <v>69</v>
      </c>
      <c r="Y155" s="11" t="s">
        <v>1402</v>
      </c>
      <c r="Z155" s="11">
        <v>0.0</v>
      </c>
      <c r="AA155" s="11" t="s">
        <v>645</v>
      </c>
      <c r="AB155" s="11"/>
      <c r="AC155" s="11"/>
      <c r="AD155" s="11"/>
      <c r="AE155" s="11" t="s">
        <v>1406</v>
      </c>
      <c r="AF155" s="11" t="s">
        <v>1407</v>
      </c>
      <c r="AG155" s="18">
        <v>46288.68377314815</v>
      </c>
      <c r="AH155" s="18">
        <v>46288.68378472222</v>
      </c>
      <c r="AI155" s="11"/>
      <c r="AJ155" s="11"/>
      <c r="AK155" s="11">
        <v>18234.0</v>
      </c>
      <c r="AL155" s="21" t="s">
        <v>75</v>
      </c>
      <c r="AM155" s="16"/>
      <c r="AN155" s="14" t="s">
        <v>39</v>
      </c>
      <c r="AO155" s="23"/>
      <c r="AP155" s="16" t="s">
        <v>76</v>
      </c>
      <c r="AQ155" s="16">
        <v>3885.0</v>
      </c>
      <c r="AR155" s="16"/>
      <c r="AS155" s="11" t="s">
        <v>433</v>
      </c>
      <c r="AT155" s="11" t="s">
        <v>686</v>
      </c>
      <c r="AU155" s="11" t="s">
        <v>1405</v>
      </c>
      <c r="AV155" s="11">
        <v>5.2037493E7</v>
      </c>
      <c r="AW155" s="11" t="s">
        <v>79</v>
      </c>
      <c r="AX155" s="11">
        <v>1.156922807E9</v>
      </c>
      <c r="AY155" s="11" t="s">
        <v>1402</v>
      </c>
      <c r="AZ155" s="24">
        <v>40929.0</v>
      </c>
      <c r="BA155" s="11" t="s">
        <v>436</v>
      </c>
      <c r="BB155" s="11" t="s">
        <v>101</v>
      </c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</row>
    <row r="156" ht="19.5" customHeight="1">
      <c r="A156" s="10" t="b">
        <v>0</v>
      </c>
      <c r="B156" s="11"/>
      <c r="C156" s="13" t="s">
        <v>60</v>
      </c>
      <c r="D156" s="14" t="s">
        <v>60</v>
      </c>
      <c r="E156" s="11"/>
      <c r="F156" s="15" t="s">
        <v>4</v>
      </c>
      <c r="G156" s="16">
        <v>656.0</v>
      </c>
      <c r="H156" s="16"/>
      <c r="I156" s="16">
        <v>47387.0</v>
      </c>
      <c r="J156" s="11" t="s">
        <v>61</v>
      </c>
      <c r="K156" s="11" t="s">
        <v>62</v>
      </c>
      <c r="L156" s="18">
        <v>46288.561319444445</v>
      </c>
      <c r="M156" s="18">
        <v>46288.561319444445</v>
      </c>
      <c r="N156" s="11" t="s">
        <v>63</v>
      </c>
      <c r="O156" s="11">
        <v>0.0</v>
      </c>
      <c r="P156" s="11" t="s">
        <v>433</v>
      </c>
      <c r="Q156" s="11" t="s">
        <v>433</v>
      </c>
      <c r="R156" s="11"/>
      <c r="S156" s="11">
        <v>0.0</v>
      </c>
      <c r="T156" s="11"/>
      <c r="U156" s="11">
        <v>0.0</v>
      </c>
      <c r="V156" s="11" t="s">
        <v>68</v>
      </c>
      <c r="W156" s="11">
        <v>0.0</v>
      </c>
      <c r="X156" s="11" t="s">
        <v>69</v>
      </c>
      <c r="Y156" s="11" t="s">
        <v>1408</v>
      </c>
      <c r="Z156" s="11">
        <v>0.0</v>
      </c>
      <c r="AA156" s="11" t="s">
        <v>645</v>
      </c>
      <c r="AB156" s="11"/>
      <c r="AC156" s="11"/>
      <c r="AD156" s="11"/>
      <c r="AE156" s="11" t="s">
        <v>1409</v>
      </c>
      <c r="AF156" s="11" t="s">
        <v>1410</v>
      </c>
      <c r="AG156" s="18">
        <v>46288.686319444445</v>
      </c>
      <c r="AH156" s="18">
        <v>46288.686319444445</v>
      </c>
      <c r="AI156" s="11"/>
      <c r="AJ156" s="11"/>
      <c r="AK156" s="11">
        <v>18234.0</v>
      </c>
      <c r="AL156" s="21" t="s">
        <v>75</v>
      </c>
      <c r="AM156" s="16"/>
      <c r="AN156" s="16"/>
      <c r="AO156" s="23" t="s">
        <v>1411</v>
      </c>
      <c r="AP156" s="16" t="s">
        <v>76</v>
      </c>
      <c r="AQ156" s="16">
        <v>3978.0</v>
      </c>
      <c r="AR156" s="16"/>
      <c r="AS156" s="11" t="s">
        <v>433</v>
      </c>
      <c r="AT156" s="11" t="s">
        <v>120</v>
      </c>
      <c r="AU156" s="11" t="s">
        <v>1412</v>
      </c>
      <c r="AV156" s="11">
        <v>5.3057191E7</v>
      </c>
      <c r="AW156" s="11" t="s">
        <v>99</v>
      </c>
      <c r="AX156" s="11">
        <v>2.215575434E9</v>
      </c>
      <c r="AY156" s="11" t="s">
        <v>1408</v>
      </c>
      <c r="AZ156" s="24">
        <v>41385.0</v>
      </c>
      <c r="BA156" s="11" t="s">
        <v>436</v>
      </c>
      <c r="BB156" s="11" t="s">
        <v>81</v>
      </c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</row>
    <row r="157" ht="19.5" customHeight="1">
      <c r="A157" s="10" t="b">
        <v>0</v>
      </c>
      <c r="B157" s="11"/>
      <c r="C157" s="13" t="s">
        <v>59</v>
      </c>
      <c r="D157" s="14" t="s">
        <v>60</v>
      </c>
      <c r="E157" s="11"/>
      <c r="F157" s="15" t="s">
        <v>4</v>
      </c>
      <c r="G157" s="14">
        <v>1063.0</v>
      </c>
      <c r="H157" s="16"/>
      <c r="I157" s="32">
        <v>47446.0</v>
      </c>
      <c r="J157" s="33" t="s">
        <v>61</v>
      </c>
      <c r="K157" s="33" t="s">
        <v>62</v>
      </c>
      <c r="L157" s="34">
        <v>46302.660416666666</v>
      </c>
      <c r="M157" s="34">
        <v>46302.660416666666</v>
      </c>
      <c r="N157" s="33" t="s">
        <v>63</v>
      </c>
      <c r="O157" s="32">
        <v>0.0</v>
      </c>
      <c r="P157" s="33" t="s">
        <v>752</v>
      </c>
      <c r="Q157" s="33" t="s">
        <v>1413</v>
      </c>
      <c r="R157" s="35"/>
      <c r="S157" s="32">
        <v>0.0</v>
      </c>
      <c r="T157" s="32"/>
      <c r="U157" s="32" t="s">
        <v>988</v>
      </c>
      <c r="V157" s="33" t="s">
        <v>68</v>
      </c>
      <c r="W157" s="32">
        <v>0.0</v>
      </c>
      <c r="X157" s="33" t="s">
        <v>69</v>
      </c>
      <c r="Y157" s="33" t="s">
        <v>1414</v>
      </c>
      <c r="Z157" s="32" t="s">
        <v>1415</v>
      </c>
      <c r="AA157" s="33" t="s">
        <v>187</v>
      </c>
      <c r="AB157" s="35"/>
      <c r="AC157" s="35"/>
      <c r="AD157" s="35"/>
      <c r="AE157" s="36" t="s">
        <v>1416</v>
      </c>
      <c r="AF157" s="36" t="s">
        <v>1417</v>
      </c>
      <c r="AG157" s="34">
        <v>46302.785416666666</v>
      </c>
      <c r="AH157" s="34">
        <v>46302.785416666666</v>
      </c>
      <c r="AI157" s="35"/>
      <c r="AJ157" s="35"/>
      <c r="AK157" s="32">
        <v>18234.0</v>
      </c>
      <c r="AL157" s="33" t="s">
        <v>75</v>
      </c>
      <c r="AM157" s="33"/>
      <c r="AN157" s="37"/>
      <c r="AO157" s="33" t="s">
        <v>76</v>
      </c>
      <c r="AP157" s="14" t="s">
        <v>76</v>
      </c>
      <c r="AQ157" s="38">
        <v>3050.0</v>
      </c>
      <c r="AR157" s="35"/>
      <c r="AS157" s="33" t="s">
        <v>1418</v>
      </c>
      <c r="AT157" s="33" t="s">
        <v>1419</v>
      </c>
      <c r="AU157" s="33" t="s">
        <v>1413</v>
      </c>
      <c r="AV157" s="32">
        <v>5.0837548E7</v>
      </c>
      <c r="AW157" s="33" t="s">
        <v>79</v>
      </c>
      <c r="AX157" s="32">
        <v>2.23526458E9</v>
      </c>
      <c r="AY157" s="33" t="s">
        <v>1414</v>
      </c>
      <c r="AZ157" s="39">
        <v>40549.0</v>
      </c>
      <c r="BA157" s="33" t="s">
        <v>1420</v>
      </c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</row>
    <row r="158" ht="19.5" customHeight="1">
      <c r="A158" s="10" t="b">
        <v>0</v>
      </c>
      <c r="B158" s="11"/>
      <c r="C158" s="13" t="s">
        <v>60</v>
      </c>
      <c r="D158" s="14" t="s">
        <v>60</v>
      </c>
      <c r="E158" s="11"/>
      <c r="F158" s="15" t="s">
        <v>84</v>
      </c>
      <c r="G158" s="16">
        <v>29.0</v>
      </c>
      <c r="H158" s="16"/>
      <c r="I158" s="16">
        <v>46686.0</v>
      </c>
      <c r="J158" s="11" t="s">
        <v>85</v>
      </c>
      <c r="K158" s="11" t="s">
        <v>62</v>
      </c>
      <c r="L158" s="18">
        <v>46271.577048611114</v>
      </c>
      <c r="M158" s="18">
        <v>46271.577048611114</v>
      </c>
      <c r="N158" s="11" t="s">
        <v>63</v>
      </c>
      <c r="O158" s="11">
        <v>0.0</v>
      </c>
      <c r="P158" s="11" t="s">
        <v>86</v>
      </c>
      <c r="Q158" s="11" t="s">
        <v>87</v>
      </c>
      <c r="R158" s="11"/>
      <c r="S158" s="11" t="s">
        <v>88</v>
      </c>
      <c r="T158" s="11" t="s">
        <v>89</v>
      </c>
      <c r="U158" s="11" t="s">
        <v>90</v>
      </c>
      <c r="V158" s="11" t="s">
        <v>68</v>
      </c>
      <c r="W158" s="11">
        <v>1622.0</v>
      </c>
      <c r="X158" s="11" t="s">
        <v>69</v>
      </c>
      <c r="Y158" s="11" t="s">
        <v>91</v>
      </c>
      <c r="Z158" s="11">
        <v>5.491136947841E12</v>
      </c>
      <c r="AA158" s="11" t="s">
        <v>92</v>
      </c>
      <c r="AB158" s="11"/>
      <c r="AC158" s="11"/>
      <c r="AD158" s="11"/>
      <c r="AE158" s="11" t="s">
        <v>1421</v>
      </c>
      <c r="AF158" s="11" t="s">
        <v>1422</v>
      </c>
      <c r="AG158" s="18">
        <v>46271.702048611114</v>
      </c>
      <c r="AH158" s="18">
        <v>46271.702048611114</v>
      </c>
      <c r="AI158" s="11"/>
      <c r="AJ158" s="11"/>
      <c r="AK158" s="11">
        <v>18253.0</v>
      </c>
      <c r="AL158" s="21" t="s">
        <v>1423</v>
      </c>
      <c r="AM158" s="16"/>
      <c r="AN158" s="16"/>
      <c r="AO158" s="23"/>
      <c r="AP158" s="16" t="s">
        <v>76</v>
      </c>
      <c r="AQ158" s="16">
        <v>4028.0</v>
      </c>
      <c r="AR158" s="16"/>
      <c r="AS158" s="11" t="s">
        <v>97</v>
      </c>
      <c r="AT158" s="11" t="s">
        <v>927</v>
      </c>
      <c r="AU158" s="11" t="s">
        <v>87</v>
      </c>
      <c r="AV158" s="11">
        <v>5.3454458E7</v>
      </c>
      <c r="AW158" s="11" t="s">
        <v>99</v>
      </c>
      <c r="AX158" s="11">
        <v>1.136947841E9</v>
      </c>
      <c r="AY158" s="11" t="s">
        <v>91</v>
      </c>
      <c r="AZ158" s="24">
        <v>41516.0</v>
      </c>
      <c r="BA158" s="11" t="s">
        <v>100</v>
      </c>
      <c r="BB158" s="11" t="s">
        <v>101</v>
      </c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</row>
    <row r="159" ht="19.5" customHeight="1">
      <c r="A159" s="10" t="b">
        <v>0</v>
      </c>
      <c r="B159" s="11"/>
      <c r="C159" s="13" t="s">
        <v>60</v>
      </c>
      <c r="D159" s="14" t="s">
        <v>60</v>
      </c>
      <c r="E159" s="11"/>
      <c r="F159" s="15" t="s">
        <v>84</v>
      </c>
      <c r="G159" s="16">
        <v>30.0</v>
      </c>
      <c r="H159" s="16"/>
      <c r="I159" s="16">
        <v>46687.0</v>
      </c>
      <c r="J159" s="11" t="s">
        <v>85</v>
      </c>
      <c r="K159" s="11" t="s">
        <v>62</v>
      </c>
      <c r="L159" s="18">
        <v>46271.578564814816</v>
      </c>
      <c r="M159" s="18">
        <v>46271.578576388885</v>
      </c>
      <c r="N159" s="11" t="s">
        <v>63</v>
      </c>
      <c r="O159" s="11">
        <v>0.0</v>
      </c>
      <c r="P159" s="11" t="s">
        <v>86</v>
      </c>
      <c r="Q159" s="11" t="s">
        <v>87</v>
      </c>
      <c r="R159" s="11"/>
      <c r="S159" s="11" t="s">
        <v>88</v>
      </c>
      <c r="T159" s="11" t="s">
        <v>89</v>
      </c>
      <c r="U159" s="11" t="s">
        <v>90</v>
      </c>
      <c r="V159" s="11" t="s">
        <v>68</v>
      </c>
      <c r="W159" s="11">
        <v>1622.0</v>
      </c>
      <c r="X159" s="11" t="s">
        <v>69</v>
      </c>
      <c r="Y159" s="11" t="s">
        <v>91</v>
      </c>
      <c r="Z159" s="11">
        <v>5.491136947841E12</v>
      </c>
      <c r="AA159" s="11" t="s">
        <v>92</v>
      </c>
      <c r="AB159" s="11"/>
      <c r="AC159" s="11"/>
      <c r="AD159" s="11"/>
      <c r="AE159" s="11" t="s">
        <v>1424</v>
      </c>
      <c r="AF159" s="11" t="s">
        <v>1425</v>
      </c>
      <c r="AG159" s="18">
        <v>46271.703564814816</v>
      </c>
      <c r="AH159" s="18">
        <v>46271.703576388885</v>
      </c>
      <c r="AI159" s="11"/>
      <c r="AJ159" s="11"/>
      <c r="AK159" s="11">
        <v>18253.0</v>
      </c>
      <c r="AL159" s="21" t="s">
        <v>1423</v>
      </c>
      <c r="AM159" s="16" t="s">
        <v>1426</v>
      </c>
      <c r="AN159" s="16"/>
      <c r="AO159" s="23"/>
      <c r="AP159" s="16" t="s">
        <v>76</v>
      </c>
      <c r="AQ159" s="16">
        <v>3976.0</v>
      </c>
      <c r="AR159" s="16"/>
      <c r="AS159" s="11" t="s">
        <v>97</v>
      </c>
      <c r="AT159" s="11" t="s">
        <v>134</v>
      </c>
      <c r="AU159" s="11" t="s">
        <v>87</v>
      </c>
      <c r="AV159" s="11">
        <v>5.4742019E7</v>
      </c>
      <c r="AW159" s="11" t="s">
        <v>99</v>
      </c>
      <c r="AX159" s="11">
        <v>1.136947841E9</v>
      </c>
      <c r="AY159" s="11" t="s">
        <v>91</v>
      </c>
      <c r="AZ159" s="24">
        <v>42090.0</v>
      </c>
      <c r="BA159" s="11" t="s">
        <v>100</v>
      </c>
      <c r="BB159" s="11" t="s">
        <v>101</v>
      </c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</row>
    <row r="160" ht="19.5" customHeight="1">
      <c r="A160" s="10" t="b">
        <v>0</v>
      </c>
      <c r="B160" s="11"/>
      <c r="C160" s="13" t="s">
        <v>60</v>
      </c>
      <c r="D160" s="14" t="s">
        <v>60</v>
      </c>
      <c r="E160" s="11"/>
      <c r="F160" s="15" t="s">
        <v>84</v>
      </c>
      <c r="G160" s="16">
        <v>36.0</v>
      </c>
      <c r="H160" s="16"/>
      <c r="I160" s="16">
        <v>46697.0</v>
      </c>
      <c r="J160" s="11" t="s">
        <v>85</v>
      </c>
      <c r="K160" s="11" t="s">
        <v>62</v>
      </c>
      <c r="L160" s="18">
        <v>46273.42931712963</v>
      </c>
      <c r="M160" s="18">
        <v>46273.42932870371</v>
      </c>
      <c r="N160" s="11" t="s">
        <v>63</v>
      </c>
      <c r="O160" s="11">
        <v>0.0</v>
      </c>
      <c r="P160" s="11" t="s">
        <v>1427</v>
      </c>
      <c r="Q160" s="11" t="s">
        <v>1428</v>
      </c>
      <c r="R160" s="11"/>
      <c r="S160" s="11" t="s">
        <v>1429</v>
      </c>
      <c r="T160" s="11"/>
      <c r="U160" s="11" t="s">
        <v>125</v>
      </c>
      <c r="V160" s="11" t="s">
        <v>126</v>
      </c>
      <c r="W160" s="11">
        <v>1430.0</v>
      </c>
      <c r="X160" s="11" t="s">
        <v>69</v>
      </c>
      <c r="Y160" s="11" t="s">
        <v>1430</v>
      </c>
      <c r="Z160" s="11">
        <v>1.140759121E9</v>
      </c>
      <c r="AA160" s="11" t="s">
        <v>92</v>
      </c>
      <c r="AB160" s="11"/>
      <c r="AC160" s="11"/>
      <c r="AD160" s="11"/>
      <c r="AE160" s="11" t="s">
        <v>1431</v>
      </c>
      <c r="AF160" s="11" t="s">
        <v>1432</v>
      </c>
      <c r="AG160" s="18">
        <v>46273.55431712963</v>
      </c>
      <c r="AH160" s="18">
        <v>46273.55432870371</v>
      </c>
      <c r="AI160" s="11"/>
      <c r="AJ160" s="11"/>
      <c r="AK160" s="11">
        <v>18253.0</v>
      </c>
      <c r="AL160" s="21" t="s">
        <v>1423</v>
      </c>
      <c r="AM160" s="16"/>
      <c r="AN160" s="16"/>
      <c r="AO160" s="23" t="s">
        <v>1433</v>
      </c>
      <c r="AP160" s="16" t="s">
        <v>76</v>
      </c>
      <c r="AQ160" s="16">
        <v>3946.0</v>
      </c>
      <c r="AR160" s="16"/>
      <c r="AS160" s="11" t="s">
        <v>97</v>
      </c>
      <c r="AT160" s="11" t="s">
        <v>1434</v>
      </c>
      <c r="AU160" s="11" t="s">
        <v>1435</v>
      </c>
      <c r="AV160" s="11">
        <v>5.3957972E7</v>
      </c>
      <c r="AW160" s="11" t="s">
        <v>99</v>
      </c>
      <c r="AX160" s="11">
        <v>1.140759121E9</v>
      </c>
      <c r="AY160" s="11" t="s">
        <v>1430</v>
      </c>
      <c r="AZ160" s="24">
        <v>41776.0</v>
      </c>
      <c r="BA160" s="11" t="s">
        <v>100</v>
      </c>
      <c r="BB160" s="11" t="s">
        <v>101</v>
      </c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</row>
    <row r="161" ht="19.5" customHeight="1">
      <c r="A161" s="10" t="b">
        <v>0</v>
      </c>
      <c r="B161" s="11"/>
      <c r="C161" s="13" t="s">
        <v>60</v>
      </c>
      <c r="D161" s="14" t="s">
        <v>60</v>
      </c>
      <c r="E161" s="11"/>
      <c r="F161" s="15" t="s">
        <v>84</v>
      </c>
      <c r="G161" s="16">
        <v>50.0</v>
      </c>
      <c r="H161" s="16"/>
      <c r="I161" s="16">
        <v>46738.0</v>
      </c>
      <c r="J161" s="11" t="s">
        <v>85</v>
      </c>
      <c r="K161" s="11" t="s">
        <v>62</v>
      </c>
      <c r="L161" s="18">
        <v>46275.98359953704</v>
      </c>
      <c r="M161" s="18">
        <v>46275.98359953704</v>
      </c>
      <c r="N161" s="11" t="s">
        <v>63</v>
      </c>
      <c r="O161" s="11">
        <v>0.0</v>
      </c>
      <c r="P161" s="11" t="s">
        <v>1436</v>
      </c>
      <c r="Q161" s="11" t="s">
        <v>1437</v>
      </c>
      <c r="R161" s="11"/>
      <c r="S161" s="11" t="s">
        <v>1438</v>
      </c>
      <c r="T161" s="11" t="s">
        <v>1439</v>
      </c>
      <c r="U161" s="11" t="s">
        <v>362</v>
      </c>
      <c r="V161" s="11" t="s">
        <v>126</v>
      </c>
      <c r="W161" s="11">
        <v>1086.0</v>
      </c>
      <c r="X161" s="11" t="s">
        <v>69</v>
      </c>
      <c r="Y161" s="11" t="s">
        <v>1440</v>
      </c>
      <c r="Z161" s="11">
        <v>1.15570603E9</v>
      </c>
      <c r="AA161" s="11" t="s">
        <v>92</v>
      </c>
      <c r="AB161" s="11"/>
      <c r="AC161" s="11"/>
      <c r="AD161" s="11"/>
      <c r="AE161" s="11" t="s">
        <v>1441</v>
      </c>
      <c r="AF161" s="11" t="s">
        <v>1442</v>
      </c>
      <c r="AG161" s="18">
        <v>46276.10859953704</v>
      </c>
      <c r="AH161" s="18">
        <v>46276.10859953704</v>
      </c>
      <c r="AI161" s="11"/>
      <c r="AJ161" s="11"/>
      <c r="AK161" s="11">
        <v>18253.0</v>
      </c>
      <c r="AL161" s="21" t="s">
        <v>1423</v>
      </c>
      <c r="AM161" s="16"/>
      <c r="AN161" s="16"/>
      <c r="AO161" s="23" t="s">
        <v>1443</v>
      </c>
      <c r="AP161" s="16" t="s">
        <v>76</v>
      </c>
      <c r="AQ161" s="16">
        <v>4029.0</v>
      </c>
      <c r="AR161" s="16"/>
      <c r="AS161" s="11" t="s">
        <v>97</v>
      </c>
      <c r="AT161" s="11" t="s">
        <v>1436</v>
      </c>
      <c r="AU161" s="11" t="s">
        <v>1444</v>
      </c>
      <c r="AV161" s="11">
        <v>5.4184553E7</v>
      </c>
      <c r="AW161" s="11" t="s">
        <v>99</v>
      </c>
      <c r="AX161" s="11">
        <v>1.15570603E9</v>
      </c>
      <c r="AY161" s="11" t="s">
        <v>1440</v>
      </c>
      <c r="AZ161" s="24">
        <v>41838.0</v>
      </c>
      <c r="BA161" s="11" t="s">
        <v>1445</v>
      </c>
      <c r="BB161" s="11" t="s">
        <v>101</v>
      </c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</row>
    <row r="162" ht="19.5" customHeight="1">
      <c r="A162" s="10" t="b">
        <v>0</v>
      </c>
      <c r="B162" s="11"/>
      <c r="C162" s="13" t="s">
        <v>60</v>
      </c>
      <c r="D162" s="14" t="s">
        <v>60</v>
      </c>
      <c r="E162" s="11"/>
      <c r="F162" s="15" t="s">
        <v>84</v>
      </c>
      <c r="G162" s="16">
        <v>72.0</v>
      </c>
      <c r="H162" s="16"/>
      <c r="I162" s="16">
        <v>46780.0</v>
      </c>
      <c r="J162" s="11" t="s">
        <v>85</v>
      </c>
      <c r="K162" s="11" t="s">
        <v>62</v>
      </c>
      <c r="L162" s="18">
        <v>46279.738229166665</v>
      </c>
      <c r="M162" s="18">
        <v>46279.73824074074</v>
      </c>
      <c r="N162" s="11" t="s">
        <v>63</v>
      </c>
      <c r="O162" s="11">
        <v>0.0</v>
      </c>
      <c r="P162" s="11" t="s">
        <v>102</v>
      </c>
      <c r="Q162" s="11" t="s">
        <v>103</v>
      </c>
      <c r="R162" s="11"/>
      <c r="S162" s="11" t="s">
        <v>104</v>
      </c>
      <c r="T162" s="11"/>
      <c r="U162" s="11" t="s">
        <v>1446</v>
      </c>
      <c r="V162" s="11" t="s">
        <v>68</v>
      </c>
      <c r="W162" s="11">
        <v>1870.0</v>
      </c>
      <c r="X162" s="11" t="s">
        <v>69</v>
      </c>
      <c r="Y162" s="11" t="s">
        <v>106</v>
      </c>
      <c r="Z162" s="11">
        <v>1.15001805E9</v>
      </c>
      <c r="AA162" s="11" t="s">
        <v>92</v>
      </c>
      <c r="AB162" s="11"/>
      <c r="AC162" s="11"/>
      <c r="AD162" s="11"/>
      <c r="AE162" s="11" t="s">
        <v>1447</v>
      </c>
      <c r="AF162" s="11" t="s">
        <v>1448</v>
      </c>
      <c r="AG162" s="18">
        <v>46279.863229166665</v>
      </c>
      <c r="AH162" s="18">
        <v>46279.86324074074</v>
      </c>
      <c r="AI162" s="11"/>
      <c r="AJ162" s="11"/>
      <c r="AK162" s="11">
        <v>18253.0</v>
      </c>
      <c r="AL162" s="21" t="s">
        <v>1423</v>
      </c>
      <c r="AM162" s="16"/>
      <c r="AN162" s="16"/>
      <c r="AO162" s="23" t="s">
        <v>1449</v>
      </c>
      <c r="AP162" s="16" t="s">
        <v>76</v>
      </c>
      <c r="AQ162" s="16">
        <v>3468.0</v>
      </c>
      <c r="AR162" s="16"/>
      <c r="AS162" s="11" t="s">
        <v>110</v>
      </c>
      <c r="AT162" s="11" t="s">
        <v>1450</v>
      </c>
      <c r="AU162" s="11" t="s">
        <v>112</v>
      </c>
      <c r="AV162" s="11">
        <v>5.4187126E7</v>
      </c>
      <c r="AW162" s="11" t="s">
        <v>99</v>
      </c>
      <c r="AX162" s="11">
        <v>1.15001805E9</v>
      </c>
      <c r="AY162" s="11" t="s">
        <v>106</v>
      </c>
      <c r="AZ162" s="24">
        <v>41876.0</v>
      </c>
      <c r="BA162" s="11" t="s">
        <v>100</v>
      </c>
      <c r="BB162" s="11" t="s">
        <v>81</v>
      </c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</row>
    <row r="163" ht="19.5" customHeight="1">
      <c r="A163" s="10" t="b">
        <v>0</v>
      </c>
      <c r="B163" s="11"/>
      <c r="C163" s="13" t="s">
        <v>60</v>
      </c>
      <c r="D163" s="14" t="s">
        <v>60</v>
      </c>
      <c r="E163" s="11"/>
      <c r="F163" s="15" t="s">
        <v>84</v>
      </c>
      <c r="G163" s="16">
        <v>77.0</v>
      </c>
      <c r="H163" s="16"/>
      <c r="I163" s="16">
        <v>46785.0</v>
      </c>
      <c r="J163" s="11" t="s">
        <v>85</v>
      </c>
      <c r="K163" s="11" t="s">
        <v>62</v>
      </c>
      <c r="L163" s="18">
        <v>46280.58128472222</v>
      </c>
      <c r="M163" s="18">
        <v>46280.58128472222</v>
      </c>
      <c r="N163" s="11" t="s">
        <v>63</v>
      </c>
      <c r="O163" s="11">
        <v>0.0</v>
      </c>
      <c r="P163" s="11" t="s">
        <v>1451</v>
      </c>
      <c r="Q163" s="11" t="s">
        <v>1452</v>
      </c>
      <c r="R163" s="11"/>
      <c r="S163" s="11" t="s">
        <v>1453</v>
      </c>
      <c r="T163" s="11"/>
      <c r="U163" s="11" t="s">
        <v>276</v>
      </c>
      <c r="V163" s="11" t="s">
        <v>126</v>
      </c>
      <c r="W163" s="11">
        <v>1011.0</v>
      </c>
      <c r="X163" s="11" t="s">
        <v>69</v>
      </c>
      <c r="Y163" s="11" t="s">
        <v>1454</v>
      </c>
      <c r="Z163" s="11" t="s">
        <v>1455</v>
      </c>
      <c r="AA163" s="11" t="s">
        <v>92</v>
      </c>
      <c r="AB163" s="11"/>
      <c r="AC163" s="11"/>
      <c r="AD163" s="11"/>
      <c r="AE163" s="11" t="s">
        <v>1456</v>
      </c>
      <c r="AF163" s="11" t="s">
        <v>1457</v>
      </c>
      <c r="AG163" s="18">
        <v>46280.70628472222</v>
      </c>
      <c r="AH163" s="18">
        <v>46280.70628472222</v>
      </c>
      <c r="AI163" s="11"/>
      <c r="AJ163" s="11"/>
      <c r="AK163" s="11">
        <v>18253.0</v>
      </c>
      <c r="AL163" s="21" t="s">
        <v>1423</v>
      </c>
      <c r="AM163" s="16"/>
      <c r="AN163" s="16"/>
      <c r="AO163" s="23"/>
      <c r="AP163" s="16" t="s">
        <v>76</v>
      </c>
      <c r="AQ163" s="16">
        <v>3962.0</v>
      </c>
      <c r="AR163" s="16"/>
      <c r="AS163" s="11" t="s">
        <v>197</v>
      </c>
      <c r="AT163" s="11" t="s">
        <v>86</v>
      </c>
      <c r="AU163" s="11" t="s">
        <v>1452</v>
      </c>
      <c r="AV163" s="11">
        <v>5.2834659E7</v>
      </c>
      <c r="AW163" s="11" t="s">
        <v>99</v>
      </c>
      <c r="AX163" s="11">
        <v>1.157189034E9</v>
      </c>
      <c r="AY163" s="11" t="s">
        <v>1458</v>
      </c>
      <c r="AZ163" s="24">
        <v>41219.0</v>
      </c>
      <c r="BA163" s="11" t="s">
        <v>1459</v>
      </c>
      <c r="BB163" s="11" t="s">
        <v>101</v>
      </c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</row>
    <row r="164" ht="19.5" customHeight="1">
      <c r="A164" s="10" t="b">
        <v>0</v>
      </c>
      <c r="B164" s="11"/>
      <c r="C164" s="13" t="s">
        <v>60</v>
      </c>
      <c r="D164" s="14" t="s">
        <v>60</v>
      </c>
      <c r="E164" s="11"/>
      <c r="F164" s="15" t="s">
        <v>84</v>
      </c>
      <c r="G164" s="16">
        <v>92.0</v>
      </c>
      <c r="H164" s="16"/>
      <c r="I164" s="16">
        <v>46802.0</v>
      </c>
      <c r="J164" s="11" t="s">
        <v>85</v>
      </c>
      <c r="K164" s="11" t="s">
        <v>62</v>
      </c>
      <c r="L164" s="18">
        <v>46281.60326388889</v>
      </c>
      <c r="M164" s="18">
        <v>46281.60326388889</v>
      </c>
      <c r="N164" s="11" t="s">
        <v>63</v>
      </c>
      <c r="O164" s="11">
        <v>0.0</v>
      </c>
      <c r="P164" s="11" t="s">
        <v>1460</v>
      </c>
      <c r="Q164" s="11" t="s">
        <v>1461</v>
      </c>
      <c r="R164" s="11"/>
      <c r="S164" s="11" t="s">
        <v>1462</v>
      </c>
      <c r="T164" s="11"/>
      <c r="U164" s="11" t="s">
        <v>1463</v>
      </c>
      <c r="V164" s="11" t="s">
        <v>126</v>
      </c>
      <c r="W164" s="11">
        <v>1824.0</v>
      </c>
      <c r="X164" s="11" t="s">
        <v>69</v>
      </c>
      <c r="Y164" s="11" t="s">
        <v>1464</v>
      </c>
      <c r="Z164" s="11" t="s">
        <v>1465</v>
      </c>
      <c r="AA164" s="11" t="s">
        <v>92</v>
      </c>
      <c r="AB164" s="11"/>
      <c r="AC164" s="11"/>
      <c r="AD164" s="11"/>
      <c r="AE164" s="11" t="s">
        <v>408</v>
      </c>
      <c r="AF164" s="11" t="s">
        <v>1466</v>
      </c>
      <c r="AG164" s="18">
        <v>46281.72826388889</v>
      </c>
      <c r="AH164" s="18">
        <v>46281.72826388889</v>
      </c>
      <c r="AI164" s="11"/>
      <c r="AJ164" s="11"/>
      <c r="AK164" s="11">
        <v>18253.0</v>
      </c>
      <c r="AL164" s="21" t="s">
        <v>1423</v>
      </c>
      <c r="AM164" s="16"/>
      <c r="AN164" s="14" t="s">
        <v>39</v>
      </c>
      <c r="AO164" s="23"/>
      <c r="AP164" s="16" t="s">
        <v>76</v>
      </c>
      <c r="AQ164" s="16">
        <v>4134.0</v>
      </c>
      <c r="AR164" s="16"/>
      <c r="AS164" s="10" t="s">
        <v>1467</v>
      </c>
      <c r="AT164" s="11" t="s">
        <v>1468</v>
      </c>
      <c r="AU164" s="11" t="s">
        <v>1461</v>
      </c>
      <c r="AV164" s="11">
        <v>5.0805416E7</v>
      </c>
      <c r="AW164" s="11" t="s">
        <v>79</v>
      </c>
      <c r="AX164" s="11">
        <v>1.130648081E9</v>
      </c>
      <c r="AY164" s="11" t="s">
        <v>1464</v>
      </c>
      <c r="AZ164" s="24">
        <v>40549.0</v>
      </c>
      <c r="BA164" s="11" t="s">
        <v>1469</v>
      </c>
      <c r="BB164" s="11" t="s">
        <v>81</v>
      </c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</row>
    <row r="165" ht="19.5" customHeight="1">
      <c r="A165" s="10" t="b">
        <v>0</v>
      </c>
      <c r="B165" s="11"/>
      <c r="C165" s="13" t="s">
        <v>60</v>
      </c>
      <c r="D165" s="14" t="s">
        <v>60</v>
      </c>
      <c r="E165" s="11"/>
      <c r="F165" s="15" t="s">
        <v>84</v>
      </c>
      <c r="G165" s="16">
        <v>100.0</v>
      </c>
      <c r="H165" s="16"/>
      <c r="I165" s="16">
        <v>46811.0</v>
      </c>
      <c r="J165" s="11" t="s">
        <v>85</v>
      </c>
      <c r="K165" s="11" t="s">
        <v>62</v>
      </c>
      <c r="L165" s="18">
        <v>46281.79824074074</v>
      </c>
      <c r="M165" s="18">
        <v>46281.79824074074</v>
      </c>
      <c r="N165" s="11" t="s">
        <v>63</v>
      </c>
      <c r="O165" s="11">
        <v>0.0</v>
      </c>
      <c r="P165" s="11" t="s">
        <v>1470</v>
      </c>
      <c r="Q165" s="11" t="s">
        <v>1471</v>
      </c>
      <c r="R165" s="11"/>
      <c r="S165" s="11" t="s">
        <v>1472</v>
      </c>
      <c r="T165" s="11"/>
      <c r="U165" s="11" t="s">
        <v>158</v>
      </c>
      <c r="V165" s="11" t="s">
        <v>68</v>
      </c>
      <c r="W165" s="11">
        <v>1107.0</v>
      </c>
      <c r="X165" s="11" t="s">
        <v>69</v>
      </c>
      <c r="Y165" s="11" t="s">
        <v>1473</v>
      </c>
      <c r="Z165" s="11">
        <v>5.41128385728E11</v>
      </c>
      <c r="AA165" s="11" t="s">
        <v>92</v>
      </c>
      <c r="AB165" s="11"/>
      <c r="AC165" s="11"/>
      <c r="AD165" s="11"/>
      <c r="AE165" s="11" t="s">
        <v>408</v>
      </c>
      <c r="AF165" s="11" t="s">
        <v>1474</v>
      </c>
      <c r="AG165" s="18">
        <v>46281.92324074074</v>
      </c>
      <c r="AH165" s="18">
        <v>46281.92324074074</v>
      </c>
      <c r="AI165" s="11"/>
      <c r="AJ165" s="11"/>
      <c r="AK165" s="11">
        <v>18253.0</v>
      </c>
      <c r="AL165" s="21" t="s">
        <v>1423</v>
      </c>
      <c r="AM165" s="16"/>
      <c r="AN165" s="16"/>
      <c r="AO165" s="23"/>
      <c r="AP165" s="16" t="s">
        <v>76</v>
      </c>
      <c r="AQ165" s="16">
        <v>4020.0</v>
      </c>
      <c r="AR165" s="16"/>
      <c r="AS165" s="11" t="s">
        <v>97</v>
      </c>
      <c r="AT165" s="11" t="s">
        <v>536</v>
      </c>
      <c r="AU165" s="11" t="s">
        <v>1471</v>
      </c>
      <c r="AV165" s="11">
        <v>5.2857832E7</v>
      </c>
      <c r="AW165" s="11" t="s">
        <v>99</v>
      </c>
      <c r="AX165" s="11">
        <v>1.128385728E9</v>
      </c>
      <c r="AY165" s="11" t="s">
        <v>1473</v>
      </c>
      <c r="AZ165" s="41">
        <v>41240.0</v>
      </c>
      <c r="BA165" s="11" t="s">
        <v>121</v>
      </c>
      <c r="BB165" s="11" t="s">
        <v>349</v>
      </c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</row>
    <row r="166" ht="19.5" customHeight="1">
      <c r="A166" s="10" t="b">
        <v>0</v>
      </c>
      <c r="B166" s="11"/>
      <c r="C166" s="13" t="s">
        <v>60</v>
      </c>
      <c r="D166" s="14" t="s">
        <v>60</v>
      </c>
      <c r="E166" s="11"/>
      <c r="F166" s="15" t="s">
        <v>84</v>
      </c>
      <c r="G166" s="16">
        <v>121.0</v>
      </c>
      <c r="H166" s="16"/>
      <c r="I166" s="16">
        <v>46832.0</v>
      </c>
      <c r="J166" s="11" t="s">
        <v>85</v>
      </c>
      <c r="K166" s="11" t="s">
        <v>62</v>
      </c>
      <c r="L166" s="18">
        <v>46282.651041666664</v>
      </c>
      <c r="M166" s="18">
        <v>46282.65105324074</v>
      </c>
      <c r="N166" s="11" t="s">
        <v>63</v>
      </c>
      <c r="O166" s="11">
        <v>4860.0</v>
      </c>
      <c r="P166" s="11" t="s">
        <v>1475</v>
      </c>
      <c r="Q166" s="11" t="s">
        <v>1476</v>
      </c>
      <c r="R166" s="11"/>
      <c r="S166" s="11" t="s">
        <v>1477</v>
      </c>
      <c r="T166" s="11">
        <v>1310.0</v>
      </c>
      <c r="U166" s="11" t="s">
        <v>158</v>
      </c>
      <c r="V166" s="11" t="s">
        <v>68</v>
      </c>
      <c r="W166" s="11">
        <v>1428.0</v>
      </c>
      <c r="X166" s="11" t="s">
        <v>69</v>
      </c>
      <c r="Y166" s="11" t="s">
        <v>1478</v>
      </c>
      <c r="Z166" s="11">
        <v>5.41121700524E11</v>
      </c>
      <c r="AA166" s="11" t="s">
        <v>92</v>
      </c>
      <c r="AB166" s="11"/>
      <c r="AC166" s="11"/>
      <c r="AD166" s="11"/>
      <c r="AE166" s="11" t="s">
        <v>408</v>
      </c>
      <c r="AF166" s="11" t="s">
        <v>1479</v>
      </c>
      <c r="AG166" s="18">
        <v>46282.776041666664</v>
      </c>
      <c r="AH166" s="18">
        <v>46282.77605324074</v>
      </c>
      <c r="AI166" s="11"/>
      <c r="AJ166" s="11"/>
      <c r="AK166" s="11">
        <v>18253.0</v>
      </c>
      <c r="AL166" s="21" t="s">
        <v>1423</v>
      </c>
      <c r="AM166" s="16" t="s">
        <v>1426</v>
      </c>
      <c r="AN166" s="14" t="s">
        <v>39</v>
      </c>
      <c r="AO166" s="23"/>
      <c r="AP166" s="16" t="s">
        <v>76</v>
      </c>
      <c r="AQ166" s="16">
        <v>404.0</v>
      </c>
      <c r="AR166" s="16"/>
      <c r="AS166" s="11" t="s">
        <v>97</v>
      </c>
      <c r="AT166" s="11" t="s">
        <v>1480</v>
      </c>
      <c r="AU166" s="11" t="s">
        <v>1481</v>
      </c>
      <c r="AV166" s="11">
        <v>5.4796546E7</v>
      </c>
      <c r="AW166" s="11" t="s">
        <v>79</v>
      </c>
      <c r="AX166" s="11">
        <v>1.121700524E9</v>
      </c>
      <c r="AY166" s="11" t="s">
        <v>1478</v>
      </c>
      <c r="AZ166" s="30">
        <v>42142.0</v>
      </c>
      <c r="BA166" s="11" t="s">
        <v>100</v>
      </c>
      <c r="BB166" s="11" t="s">
        <v>101</v>
      </c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</row>
    <row r="167" ht="19.5" customHeight="1">
      <c r="A167" s="10" t="b">
        <v>0</v>
      </c>
      <c r="B167" s="11"/>
      <c r="C167" s="13" t="s">
        <v>60</v>
      </c>
      <c r="D167" s="14" t="s">
        <v>60</v>
      </c>
      <c r="E167" s="11"/>
      <c r="F167" s="15" t="s">
        <v>84</v>
      </c>
      <c r="G167" s="16">
        <v>131.0</v>
      </c>
      <c r="H167" s="16"/>
      <c r="I167" s="16">
        <v>46842.0</v>
      </c>
      <c r="J167" s="11" t="s">
        <v>85</v>
      </c>
      <c r="K167" s="11" t="s">
        <v>62</v>
      </c>
      <c r="L167" s="18">
        <v>46282.72965277778</v>
      </c>
      <c r="M167" s="18">
        <v>46282.72966435185</v>
      </c>
      <c r="N167" s="11" t="s">
        <v>63</v>
      </c>
      <c r="O167" s="11">
        <v>1423.0</v>
      </c>
      <c r="P167" s="11" t="s">
        <v>1482</v>
      </c>
      <c r="Q167" s="11" t="s">
        <v>1483</v>
      </c>
      <c r="R167" s="11"/>
      <c r="S167" s="11" t="s">
        <v>1484</v>
      </c>
      <c r="T167" s="11"/>
      <c r="U167" s="11" t="s">
        <v>1485</v>
      </c>
      <c r="V167" s="11" t="s">
        <v>68</v>
      </c>
      <c r="W167" s="11">
        <v>1670.0</v>
      </c>
      <c r="X167" s="11" t="s">
        <v>69</v>
      </c>
      <c r="Y167" s="11" t="s">
        <v>1486</v>
      </c>
      <c r="Z167" s="11">
        <v>1.171632121E9</v>
      </c>
      <c r="AA167" s="11" t="s">
        <v>92</v>
      </c>
      <c r="AB167" s="11"/>
      <c r="AC167" s="11"/>
      <c r="AD167" s="11"/>
      <c r="AE167" s="11" t="s">
        <v>1487</v>
      </c>
      <c r="AF167" s="11" t="s">
        <v>1488</v>
      </c>
      <c r="AG167" s="18">
        <v>46282.85465277778</v>
      </c>
      <c r="AH167" s="18">
        <v>46282.85466435185</v>
      </c>
      <c r="AI167" s="11"/>
      <c r="AJ167" s="11"/>
      <c r="AK167" s="11">
        <v>18253.0</v>
      </c>
      <c r="AL167" s="21" t="s">
        <v>1423</v>
      </c>
      <c r="AM167" s="16"/>
      <c r="AN167" s="16"/>
      <c r="AO167" s="23" t="s">
        <v>1489</v>
      </c>
      <c r="AP167" s="16" t="s">
        <v>76</v>
      </c>
      <c r="AQ167" s="16">
        <v>4118.0</v>
      </c>
      <c r="AR167" s="16"/>
      <c r="AS167" s="11" t="s">
        <v>97</v>
      </c>
      <c r="AT167" s="11" t="s">
        <v>1490</v>
      </c>
      <c r="AU167" s="11" t="s">
        <v>1491</v>
      </c>
      <c r="AV167" s="11">
        <v>5.1723975E7</v>
      </c>
      <c r="AW167" s="11" t="s">
        <v>99</v>
      </c>
      <c r="AX167" s="11">
        <v>5.491171632121E12</v>
      </c>
      <c r="AY167" s="11" t="s">
        <v>1492</v>
      </c>
      <c r="AZ167" s="24">
        <v>41808.0</v>
      </c>
      <c r="BA167" s="11" t="s">
        <v>132</v>
      </c>
      <c r="BB167" s="11" t="s">
        <v>349</v>
      </c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</row>
    <row r="168" ht="19.5" customHeight="1">
      <c r="A168" s="10" t="b">
        <v>0</v>
      </c>
      <c r="B168" s="11"/>
      <c r="C168" s="13" t="s">
        <v>60</v>
      </c>
      <c r="D168" s="14" t="s">
        <v>60</v>
      </c>
      <c r="E168" s="11"/>
      <c r="F168" s="15" t="s">
        <v>84</v>
      </c>
      <c r="G168" s="16">
        <v>135.0</v>
      </c>
      <c r="H168" s="16"/>
      <c r="I168" s="16">
        <v>46846.0</v>
      </c>
      <c r="J168" s="11" t="s">
        <v>85</v>
      </c>
      <c r="K168" s="11" t="s">
        <v>62</v>
      </c>
      <c r="L168" s="18">
        <v>46282.80420138889</v>
      </c>
      <c r="M168" s="18">
        <v>46282.80420138889</v>
      </c>
      <c r="N168" s="11" t="s">
        <v>63</v>
      </c>
      <c r="O168" s="11">
        <v>0.0</v>
      </c>
      <c r="P168" s="11" t="s">
        <v>1493</v>
      </c>
      <c r="Q168" s="11" t="s">
        <v>1494</v>
      </c>
      <c r="R168" s="11"/>
      <c r="S168" s="11" t="s">
        <v>1495</v>
      </c>
      <c r="T168" s="11">
        <v>3.0</v>
      </c>
      <c r="U168" s="11" t="s">
        <v>125</v>
      </c>
      <c r="V168" s="11" t="s">
        <v>126</v>
      </c>
      <c r="W168" s="11">
        <v>1024.0</v>
      </c>
      <c r="X168" s="11" t="s">
        <v>69</v>
      </c>
      <c r="Y168" s="11" t="s">
        <v>1496</v>
      </c>
      <c r="Z168" s="11">
        <v>1.162296144E9</v>
      </c>
      <c r="AA168" s="11" t="s">
        <v>92</v>
      </c>
      <c r="AB168" s="11"/>
      <c r="AC168" s="11"/>
      <c r="AD168" s="11"/>
      <c r="AE168" s="11" t="s">
        <v>1497</v>
      </c>
      <c r="AF168" s="11" t="s">
        <v>1498</v>
      </c>
      <c r="AG168" s="18">
        <v>46282.92920138889</v>
      </c>
      <c r="AH168" s="18">
        <v>46282.92920138889</v>
      </c>
      <c r="AI168" s="11"/>
      <c r="AJ168" s="11"/>
      <c r="AK168" s="11">
        <v>18253.0</v>
      </c>
      <c r="AL168" s="21" t="s">
        <v>1423</v>
      </c>
      <c r="AM168" s="16" t="s">
        <v>1426</v>
      </c>
      <c r="AN168" s="16"/>
      <c r="AO168" s="23"/>
      <c r="AP168" s="16" t="s">
        <v>76</v>
      </c>
      <c r="AQ168" s="16">
        <v>4355.0</v>
      </c>
      <c r="AR168" s="16"/>
      <c r="AS168" s="11" t="s">
        <v>97</v>
      </c>
      <c r="AT168" s="11" t="s">
        <v>1499</v>
      </c>
      <c r="AU168" s="11" t="s">
        <v>1500</v>
      </c>
      <c r="AV168" s="11">
        <v>5.462732E7</v>
      </c>
      <c r="AW168" s="11" t="s">
        <v>99</v>
      </c>
      <c r="AX168" s="11">
        <v>1.162296144E9</v>
      </c>
      <c r="AY168" s="11" t="s">
        <v>1496</v>
      </c>
      <c r="AZ168" s="24">
        <v>42044.0</v>
      </c>
      <c r="BA168" s="11" t="s">
        <v>1501</v>
      </c>
      <c r="BB168" s="11" t="s">
        <v>101</v>
      </c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</row>
    <row r="169" ht="19.5" customHeight="1">
      <c r="A169" s="10" t="b">
        <v>0</v>
      </c>
      <c r="B169" s="11"/>
      <c r="C169" s="13" t="s">
        <v>60</v>
      </c>
      <c r="D169" s="14" t="s">
        <v>60</v>
      </c>
      <c r="E169" s="11"/>
      <c r="F169" s="15" t="s">
        <v>84</v>
      </c>
      <c r="G169" s="16">
        <v>163.0</v>
      </c>
      <c r="H169" s="16"/>
      <c r="I169" s="16">
        <v>46874.0</v>
      </c>
      <c r="J169" s="11" t="s">
        <v>85</v>
      </c>
      <c r="K169" s="11" t="s">
        <v>62</v>
      </c>
      <c r="L169" s="18">
        <v>46283.52854166667</v>
      </c>
      <c r="M169" s="18">
        <v>46283.52855324074</v>
      </c>
      <c r="N169" s="11" t="s">
        <v>63</v>
      </c>
      <c r="O169" s="11">
        <v>0.0</v>
      </c>
      <c r="P169" s="11" t="s">
        <v>134</v>
      </c>
      <c r="Q169" s="11" t="s">
        <v>136</v>
      </c>
      <c r="R169" s="11"/>
      <c r="S169" s="11" t="s">
        <v>135</v>
      </c>
      <c r="T169" s="11"/>
      <c r="U169" s="11" t="s">
        <v>137</v>
      </c>
      <c r="V169" s="11" t="s">
        <v>68</v>
      </c>
      <c r="W169" s="11">
        <v>1643.0</v>
      </c>
      <c r="X169" s="11" t="s">
        <v>69</v>
      </c>
      <c r="Y169" s="11" t="s">
        <v>138</v>
      </c>
      <c r="Z169" s="11" t="s">
        <v>1502</v>
      </c>
      <c r="AA169" s="11" t="s">
        <v>92</v>
      </c>
      <c r="AB169" s="11"/>
      <c r="AC169" s="11"/>
      <c r="AD169" s="11"/>
      <c r="AE169" s="11" t="s">
        <v>1503</v>
      </c>
      <c r="AF169" s="11" t="s">
        <v>1504</v>
      </c>
      <c r="AG169" s="18">
        <v>46283.65354166667</v>
      </c>
      <c r="AH169" s="18">
        <v>46283.65355324074</v>
      </c>
      <c r="AI169" s="11"/>
      <c r="AJ169" s="11"/>
      <c r="AK169" s="11">
        <v>18253.0</v>
      </c>
      <c r="AL169" s="21" t="s">
        <v>1423</v>
      </c>
      <c r="AM169" s="16"/>
      <c r="AN169" s="16"/>
      <c r="AO169" s="23" t="s">
        <v>1411</v>
      </c>
      <c r="AP169" s="16" t="s">
        <v>76</v>
      </c>
      <c r="AQ169" s="16">
        <v>4198.0</v>
      </c>
      <c r="AR169" s="16"/>
      <c r="AS169" s="11" t="s">
        <v>97</v>
      </c>
      <c r="AT169" s="11" t="s">
        <v>839</v>
      </c>
      <c r="AU169" s="11" t="s">
        <v>136</v>
      </c>
      <c r="AV169" s="11">
        <v>5.3454414E7</v>
      </c>
      <c r="AW169" s="11" t="s">
        <v>99</v>
      </c>
      <c r="AX169" s="11">
        <v>1.150022001E9</v>
      </c>
      <c r="AY169" s="11" t="s">
        <v>138</v>
      </c>
      <c r="AZ169" s="24">
        <v>41515.0</v>
      </c>
      <c r="BA169" s="11" t="s">
        <v>100</v>
      </c>
      <c r="BB169" s="11" t="s">
        <v>81</v>
      </c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</row>
    <row r="170" ht="19.5" customHeight="1">
      <c r="A170" s="10" t="b">
        <v>0</v>
      </c>
      <c r="B170" s="11"/>
      <c r="C170" s="13" t="s">
        <v>60</v>
      </c>
      <c r="D170" s="14" t="s">
        <v>60</v>
      </c>
      <c r="E170" s="11"/>
      <c r="F170" s="15" t="s">
        <v>84</v>
      </c>
      <c r="G170" s="16">
        <v>184.0</v>
      </c>
      <c r="H170" s="16"/>
      <c r="I170" s="16">
        <v>46895.0</v>
      </c>
      <c r="J170" s="11" t="s">
        <v>85</v>
      </c>
      <c r="K170" s="11" t="s">
        <v>62</v>
      </c>
      <c r="L170" s="18">
        <v>46283.87535879629</v>
      </c>
      <c r="M170" s="18">
        <v>46283.87537037037</v>
      </c>
      <c r="N170" s="11" t="s">
        <v>63</v>
      </c>
      <c r="O170" s="11">
        <v>0.0</v>
      </c>
      <c r="P170" s="11" t="s">
        <v>120</v>
      </c>
      <c r="Q170" s="11" t="s">
        <v>1505</v>
      </c>
      <c r="R170" s="11"/>
      <c r="S170" s="11" t="s">
        <v>1506</v>
      </c>
      <c r="T170" s="11"/>
      <c r="U170" s="11" t="s">
        <v>493</v>
      </c>
      <c r="V170" s="11" t="s">
        <v>68</v>
      </c>
      <c r="W170" s="11">
        <v>1642.0</v>
      </c>
      <c r="X170" s="11" t="s">
        <v>69</v>
      </c>
      <c r="Y170" s="11" t="s">
        <v>1507</v>
      </c>
      <c r="Z170" s="11">
        <v>5.33244946E8</v>
      </c>
      <c r="AA170" s="11" t="s">
        <v>92</v>
      </c>
      <c r="AB170" s="11"/>
      <c r="AC170" s="11"/>
      <c r="AD170" s="11"/>
      <c r="AE170" s="11" t="s">
        <v>1508</v>
      </c>
      <c r="AF170" s="11" t="s">
        <v>1509</v>
      </c>
      <c r="AG170" s="18">
        <v>46284.00035879629</v>
      </c>
      <c r="AH170" s="18">
        <v>46284.00037037037</v>
      </c>
      <c r="AI170" s="11"/>
      <c r="AJ170" s="11"/>
      <c r="AK170" s="11">
        <v>18253.0</v>
      </c>
      <c r="AL170" s="21" t="s">
        <v>1423</v>
      </c>
      <c r="AM170" s="16"/>
      <c r="AN170" s="14" t="s">
        <v>39</v>
      </c>
      <c r="AO170" s="23"/>
      <c r="AP170" s="16" t="s">
        <v>76</v>
      </c>
      <c r="AQ170" s="16">
        <v>4226.0</v>
      </c>
      <c r="AR170" s="16"/>
      <c r="AS170" s="11" t="s">
        <v>97</v>
      </c>
      <c r="AT170" s="11" t="s">
        <v>1510</v>
      </c>
      <c r="AU170" s="11" t="s">
        <v>1505</v>
      </c>
      <c r="AV170" s="11">
        <v>5.285498E7</v>
      </c>
      <c r="AW170" s="11" t="s">
        <v>79</v>
      </c>
      <c r="AX170" s="11">
        <v>5.33244946E8</v>
      </c>
      <c r="AY170" s="11" t="s">
        <v>1507</v>
      </c>
      <c r="AZ170" s="24">
        <v>41237.0</v>
      </c>
      <c r="BA170" s="11" t="s">
        <v>956</v>
      </c>
      <c r="BB170" s="11" t="s">
        <v>81</v>
      </c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</row>
    <row r="171" ht="19.5" customHeight="1">
      <c r="A171" s="10" t="b">
        <v>0</v>
      </c>
      <c r="B171" s="11"/>
      <c r="C171" s="13" t="s">
        <v>60</v>
      </c>
      <c r="D171" s="14" t="s">
        <v>60</v>
      </c>
      <c r="E171" s="11"/>
      <c r="F171" s="15" t="s">
        <v>84</v>
      </c>
      <c r="G171" s="16">
        <v>185.0</v>
      </c>
      <c r="H171" s="16"/>
      <c r="I171" s="16">
        <v>46896.0</v>
      </c>
      <c r="J171" s="11" t="s">
        <v>85</v>
      </c>
      <c r="K171" s="11" t="s">
        <v>62</v>
      </c>
      <c r="L171" s="18">
        <v>46283.87763888889</v>
      </c>
      <c r="M171" s="18">
        <v>46283.877650462964</v>
      </c>
      <c r="N171" s="11" t="s">
        <v>63</v>
      </c>
      <c r="O171" s="11">
        <v>0.0</v>
      </c>
      <c r="P171" s="11" t="s">
        <v>120</v>
      </c>
      <c r="Q171" s="11" t="s">
        <v>1505</v>
      </c>
      <c r="R171" s="11"/>
      <c r="S171" s="11" t="s">
        <v>1506</v>
      </c>
      <c r="T171" s="11"/>
      <c r="U171" s="11" t="s">
        <v>493</v>
      </c>
      <c r="V171" s="11" t="s">
        <v>68</v>
      </c>
      <c r="W171" s="11">
        <v>1642.0</v>
      </c>
      <c r="X171" s="11" t="s">
        <v>69</v>
      </c>
      <c r="Y171" s="11" t="s">
        <v>1507</v>
      </c>
      <c r="Z171" s="11">
        <v>5.33244946E8</v>
      </c>
      <c r="AA171" s="11" t="s">
        <v>92</v>
      </c>
      <c r="AB171" s="11"/>
      <c r="AC171" s="11"/>
      <c r="AD171" s="11"/>
      <c r="AE171" s="11" t="s">
        <v>1511</v>
      </c>
      <c r="AF171" s="11" t="s">
        <v>1512</v>
      </c>
      <c r="AG171" s="18">
        <v>46284.00263888889</v>
      </c>
      <c r="AH171" s="18">
        <v>46284.002650462964</v>
      </c>
      <c r="AI171" s="11"/>
      <c r="AJ171" s="11"/>
      <c r="AK171" s="11">
        <v>18253.0</v>
      </c>
      <c r="AL171" s="21" t="s">
        <v>1423</v>
      </c>
      <c r="AM171" s="16" t="s">
        <v>1426</v>
      </c>
      <c r="AN171" s="14" t="s">
        <v>39</v>
      </c>
      <c r="AO171" s="23"/>
      <c r="AP171" s="16" t="s">
        <v>76</v>
      </c>
      <c r="AQ171" s="16">
        <v>3614.0</v>
      </c>
      <c r="AR171" s="16"/>
      <c r="AS171" s="11" t="s">
        <v>97</v>
      </c>
      <c r="AT171" s="11" t="s">
        <v>621</v>
      </c>
      <c r="AU171" s="11" t="s">
        <v>1505</v>
      </c>
      <c r="AV171" s="11">
        <v>5.4460028E7</v>
      </c>
      <c r="AW171" s="11" t="s">
        <v>79</v>
      </c>
      <c r="AX171" s="11">
        <v>5.33244946E8</v>
      </c>
      <c r="AY171" s="11" t="s">
        <v>1507</v>
      </c>
      <c r="AZ171" s="24">
        <v>42006.0</v>
      </c>
      <c r="BA171" s="11" t="s">
        <v>956</v>
      </c>
      <c r="BB171" s="11" t="s">
        <v>101</v>
      </c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</row>
    <row r="172" ht="19.5" customHeight="1">
      <c r="A172" s="10" t="b">
        <v>0</v>
      </c>
      <c r="B172" s="11"/>
      <c r="C172" s="13" t="s">
        <v>60</v>
      </c>
      <c r="D172" s="14" t="s">
        <v>60</v>
      </c>
      <c r="E172" s="11"/>
      <c r="F172" s="15" t="s">
        <v>84</v>
      </c>
      <c r="G172" s="16">
        <v>188.0</v>
      </c>
      <c r="H172" s="16"/>
      <c r="I172" s="16">
        <v>46899.0</v>
      </c>
      <c r="J172" s="11" t="s">
        <v>85</v>
      </c>
      <c r="K172" s="11" t="s">
        <v>62</v>
      </c>
      <c r="L172" s="18">
        <v>46284.30025462963</v>
      </c>
      <c r="M172" s="18">
        <v>46284.3002662037</v>
      </c>
      <c r="N172" s="11" t="s">
        <v>63</v>
      </c>
      <c r="O172" s="11">
        <v>0.0</v>
      </c>
      <c r="P172" s="11" t="s">
        <v>145</v>
      </c>
      <c r="Q172" s="11" t="s">
        <v>146</v>
      </c>
      <c r="R172" s="11"/>
      <c r="S172" s="11" t="s">
        <v>147</v>
      </c>
      <c r="T172" s="11" t="s">
        <v>148</v>
      </c>
      <c r="U172" s="11" t="s">
        <v>125</v>
      </c>
      <c r="V172" s="11" t="s">
        <v>126</v>
      </c>
      <c r="W172" s="11">
        <v>1426.0</v>
      </c>
      <c r="X172" s="11" t="s">
        <v>69</v>
      </c>
      <c r="Y172" s="11" t="s">
        <v>149</v>
      </c>
      <c r="Z172" s="11">
        <v>1.150974625E9</v>
      </c>
      <c r="AA172" s="11" t="s">
        <v>92</v>
      </c>
      <c r="AB172" s="11"/>
      <c r="AC172" s="11"/>
      <c r="AD172" s="11"/>
      <c r="AE172" s="11" t="s">
        <v>1513</v>
      </c>
      <c r="AF172" s="11" t="s">
        <v>1514</v>
      </c>
      <c r="AG172" s="18">
        <v>46284.42525462963</v>
      </c>
      <c r="AH172" s="18">
        <v>46284.4252662037</v>
      </c>
      <c r="AI172" s="11"/>
      <c r="AJ172" s="11"/>
      <c r="AK172" s="11">
        <v>18253.0</v>
      </c>
      <c r="AL172" s="21" t="s">
        <v>1423</v>
      </c>
      <c r="AM172" s="16"/>
      <c r="AN172" s="16"/>
      <c r="AO172" s="23" t="s">
        <v>1515</v>
      </c>
      <c r="AP172" s="16" t="s">
        <v>76</v>
      </c>
      <c r="AQ172" s="16">
        <v>4224.0</v>
      </c>
      <c r="AR172" s="16"/>
      <c r="AS172" s="11" t="s">
        <v>97</v>
      </c>
      <c r="AT172" s="11" t="s">
        <v>1516</v>
      </c>
      <c r="AU172" s="11" t="s">
        <v>146</v>
      </c>
      <c r="AV172" s="11">
        <v>5.4451438E7</v>
      </c>
      <c r="AW172" s="11" t="s">
        <v>99</v>
      </c>
      <c r="AX172" s="11">
        <v>5.491150974625E12</v>
      </c>
      <c r="AY172" s="11" t="s">
        <v>149</v>
      </c>
      <c r="AZ172" s="24">
        <v>41971.0</v>
      </c>
      <c r="BA172" s="11" t="s">
        <v>230</v>
      </c>
      <c r="BB172" s="11" t="s">
        <v>101</v>
      </c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</row>
    <row r="173" ht="19.5" customHeight="1">
      <c r="A173" s="10" t="b">
        <v>0</v>
      </c>
      <c r="B173" s="11"/>
      <c r="C173" s="13" t="s">
        <v>60</v>
      </c>
      <c r="D173" s="14" t="s">
        <v>60</v>
      </c>
      <c r="E173" s="11"/>
      <c r="F173" s="15" t="s">
        <v>84</v>
      </c>
      <c r="G173" s="16">
        <v>282.0</v>
      </c>
      <c r="H173" s="16"/>
      <c r="I173" s="16">
        <v>47005.0</v>
      </c>
      <c r="J173" s="11" t="s">
        <v>85</v>
      </c>
      <c r="K173" s="11" t="s">
        <v>62</v>
      </c>
      <c r="L173" s="18">
        <v>46286.327210648145</v>
      </c>
      <c r="M173" s="18">
        <v>46286.327210648145</v>
      </c>
      <c r="N173" s="11" t="s">
        <v>63</v>
      </c>
      <c r="O173" s="11">
        <v>0.0</v>
      </c>
      <c r="P173" s="11" t="s">
        <v>253</v>
      </c>
      <c r="Q173" s="11" t="s">
        <v>1517</v>
      </c>
      <c r="R173" s="11"/>
      <c r="S173" s="11" t="s">
        <v>1518</v>
      </c>
      <c r="T173" s="11" t="s">
        <v>1519</v>
      </c>
      <c r="U173" s="11" t="s">
        <v>1520</v>
      </c>
      <c r="V173" s="11" t="s">
        <v>126</v>
      </c>
      <c r="W173" s="11" t="s">
        <v>1521</v>
      </c>
      <c r="X173" s="11" t="s">
        <v>69</v>
      </c>
      <c r="Y173" s="11" t="s">
        <v>1522</v>
      </c>
      <c r="Z173" s="11">
        <v>5.491160461122E12</v>
      </c>
      <c r="AA173" s="11" t="s">
        <v>92</v>
      </c>
      <c r="AB173" s="11"/>
      <c r="AC173" s="11"/>
      <c r="AD173" s="11"/>
      <c r="AE173" s="11" t="s">
        <v>1523</v>
      </c>
      <c r="AF173" s="11" t="s">
        <v>1524</v>
      </c>
      <c r="AG173" s="18">
        <v>46286.452210648145</v>
      </c>
      <c r="AH173" s="18">
        <v>46286.452210648145</v>
      </c>
      <c r="AI173" s="11"/>
      <c r="AJ173" s="11"/>
      <c r="AK173" s="11">
        <v>18253.0</v>
      </c>
      <c r="AL173" s="21" t="s">
        <v>1423</v>
      </c>
      <c r="AM173" s="16"/>
      <c r="AN173" s="16"/>
      <c r="AO173" s="23" t="s">
        <v>734</v>
      </c>
      <c r="AP173" s="16" t="s">
        <v>76</v>
      </c>
      <c r="AQ173" s="16">
        <v>4210.0</v>
      </c>
      <c r="AR173" s="16"/>
      <c r="AS173" s="11" t="s">
        <v>97</v>
      </c>
      <c r="AT173" s="11" t="s">
        <v>1525</v>
      </c>
      <c r="AU173" s="11" t="s">
        <v>1517</v>
      </c>
      <c r="AV173" s="11">
        <v>5.3645984E7</v>
      </c>
      <c r="AW173" s="11" t="s">
        <v>99</v>
      </c>
      <c r="AX173" s="11">
        <v>1.160461122E9</v>
      </c>
      <c r="AY173" s="11" t="s">
        <v>1522</v>
      </c>
      <c r="AZ173" s="24">
        <v>41628.0</v>
      </c>
      <c r="BA173" s="11" t="s">
        <v>1526</v>
      </c>
      <c r="BB173" s="11" t="s">
        <v>101</v>
      </c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</row>
    <row r="174" ht="19.5" customHeight="1">
      <c r="A174" s="10" t="b">
        <v>0</v>
      </c>
      <c r="B174" s="11"/>
      <c r="C174" s="13" t="s">
        <v>60</v>
      </c>
      <c r="D174" s="14" t="s">
        <v>60</v>
      </c>
      <c r="E174" s="11"/>
      <c r="F174" s="15" t="s">
        <v>84</v>
      </c>
      <c r="G174" s="16">
        <v>303.0</v>
      </c>
      <c r="H174" s="16"/>
      <c r="I174" s="16">
        <v>47026.0</v>
      </c>
      <c r="J174" s="11" t="s">
        <v>85</v>
      </c>
      <c r="K174" s="11" t="s">
        <v>62</v>
      </c>
      <c r="L174" s="18">
        <v>46286.44710648148</v>
      </c>
      <c r="M174" s="18">
        <v>46286.447118055556</v>
      </c>
      <c r="N174" s="11" t="s">
        <v>63</v>
      </c>
      <c r="O174" s="11">
        <v>0.0</v>
      </c>
      <c r="P174" s="11" t="s">
        <v>1527</v>
      </c>
      <c r="Q174" s="11" t="s">
        <v>1528</v>
      </c>
      <c r="R174" s="11"/>
      <c r="S174" s="11" t="s">
        <v>1529</v>
      </c>
      <c r="T174" s="11"/>
      <c r="U174" s="11" t="s">
        <v>1530</v>
      </c>
      <c r="V174" s="11" t="s">
        <v>68</v>
      </c>
      <c r="W174" s="11">
        <v>1644.0</v>
      </c>
      <c r="X174" s="11" t="s">
        <v>69</v>
      </c>
      <c r="Y174" s="11" t="s">
        <v>1531</v>
      </c>
      <c r="Z174" s="11">
        <v>5.41559965995E11</v>
      </c>
      <c r="AA174" s="11" t="s">
        <v>92</v>
      </c>
      <c r="AB174" s="11"/>
      <c r="AC174" s="11"/>
      <c r="AD174" s="11"/>
      <c r="AE174" s="11" t="s">
        <v>1532</v>
      </c>
      <c r="AF174" s="11" t="s">
        <v>1533</v>
      </c>
      <c r="AG174" s="18">
        <v>46286.57210648148</v>
      </c>
      <c r="AH174" s="18">
        <v>46286.572118055556</v>
      </c>
      <c r="AI174" s="11"/>
      <c r="AJ174" s="11"/>
      <c r="AK174" s="11">
        <v>18253.0</v>
      </c>
      <c r="AL174" s="21" t="s">
        <v>1423</v>
      </c>
      <c r="AM174" s="16"/>
      <c r="AN174" s="14" t="s">
        <v>39</v>
      </c>
      <c r="AO174" s="23"/>
      <c r="AP174" s="16" t="s">
        <v>76</v>
      </c>
      <c r="AQ174" s="16">
        <v>4121.0</v>
      </c>
      <c r="AR174" s="16"/>
      <c r="AS174" s="11" t="s">
        <v>97</v>
      </c>
      <c r="AT174" s="11" t="s">
        <v>497</v>
      </c>
      <c r="AU174" s="11" t="s">
        <v>1534</v>
      </c>
      <c r="AV174" s="11">
        <v>5.320446E7</v>
      </c>
      <c r="AW174" s="11" t="s">
        <v>79</v>
      </c>
      <c r="AX174" s="11">
        <v>1.559965995E9</v>
      </c>
      <c r="AY174" s="11" t="s">
        <v>1531</v>
      </c>
      <c r="AZ174" s="31">
        <v>41418.0</v>
      </c>
      <c r="BA174" s="11" t="s">
        <v>144</v>
      </c>
      <c r="BB174" s="11" t="s">
        <v>101</v>
      </c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</row>
    <row r="175" ht="19.5" customHeight="1">
      <c r="A175" s="10" t="b">
        <v>0</v>
      </c>
      <c r="B175" s="11"/>
      <c r="C175" s="13" t="s">
        <v>60</v>
      </c>
      <c r="D175" s="14" t="s">
        <v>60</v>
      </c>
      <c r="E175" s="11"/>
      <c r="F175" s="15" t="s">
        <v>84</v>
      </c>
      <c r="G175" s="16">
        <v>335.0</v>
      </c>
      <c r="H175" s="16"/>
      <c r="I175" s="16">
        <v>47058.0</v>
      </c>
      <c r="J175" s="11" t="s">
        <v>85</v>
      </c>
      <c r="K175" s="11" t="s">
        <v>62</v>
      </c>
      <c r="L175" s="18">
        <v>46286.52460648148</v>
      </c>
      <c r="M175" s="18">
        <v>46286.524618055555</v>
      </c>
      <c r="N175" s="11" t="s">
        <v>63</v>
      </c>
      <c r="O175" s="11">
        <v>0.0</v>
      </c>
      <c r="P175" s="11" t="s">
        <v>181</v>
      </c>
      <c r="Q175" s="11" t="s">
        <v>1535</v>
      </c>
      <c r="R175" s="11"/>
      <c r="S175" s="11" t="s">
        <v>1536</v>
      </c>
      <c r="T175" s="11" t="s">
        <v>1537</v>
      </c>
      <c r="U175" s="11" t="s">
        <v>362</v>
      </c>
      <c r="V175" s="11" t="s">
        <v>68</v>
      </c>
      <c r="W175" s="11" t="s">
        <v>1538</v>
      </c>
      <c r="X175" s="11" t="s">
        <v>69</v>
      </c>
      <c r="Y175" s="11" t="s">
        <v>1539</v>
      </c>
      <c r="Z175" s="11">
        <v>5.41144915661E11</v>
      </c>
      <c r="AA175" s="11" t="s">
        <v>92</v>
      </c>
      <c r="AB175" s="11"/>
      <c r="AC175" s="11"/>
      <c r="AD175" s="11"/>
      <c r="AE175" s="11" t="s">
        <v>1540</v>
      </c>
      <c r="AF175" s="11" t="s">
        <v>1541</v>
      </c>
      <c r="AG175" s="18">
        <v>46286.64960648148</v>
      </c>
      <c r="AH175" s="18">
        <v>46286.649618055555</v>
      </c>
      <c r="AI175" s="11"/>
      <c r="AJ175" s="11"/>
      <c r="AK175" s="11">
        <v>18253.0</v>
      </c>
      <c r="AL175" s="21" t="s">
        <v>1423</v>
      </c>
      <c r="AM175" s="16"/>
      <c r="AN175" s="14" t="s">
        <v>39</v>
      </c>
      <c r="AO175" s="23"/>
      <c r="AP175" s="16" t="s">
        <v>76</v>
      </c>
      <c r="AQ175" s="16">
        <v>4085.0</v>
      </c>
      <c r="AR175" s="16"/>
      <c r="AS175" s="11" t="s">
        <v>97</v>
      </c>
      <c r="AT175" s="11" t="s">
        <v>1277</v>
      </c>
      <c r="AU175" s="11" t="s">
        <v>1542</v>
      </c>
      <c r="AV175" s="11">
        <v>5.3087006E7</v>
      </c>
      <c r="AW175" s="11" t="s">
        <v>79</v>
      </c>
      <c r="AX175" s="11">
        <v>1.144915661E9</v>
      </c>
      <c r="AY175" s="11" t="s">
        <v>1539</v>
      </c>
      <c r="AZ175" s="24">
        <v>41308.0</v>
      </c>
      <c r="BA175" s="11" t="s">
        <v>100</v>
      </c>
      <c r="BB175" s="11" t="s">
        <v>101</v>
      </c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</row>
    <row r="176" ht="19.5" customHeight="1">
      <c r="A176" s="10" t="b">
        <v>0</v>
      </c>
      <c r="B176" s="11"/>
      <c r="C176" s="13" t="s">
        <v>60</v>
      </c>
      <c r="D176" s="14" t="s">
        <v>60</v>
      </c>
      <c r="E176" s="11"/>
      <c r="F176" s="15" t="s">
        <v>84</v>
      </c>
      <c r="G176" s="16">
        <v>345.0</v>
      </c>
      <c r="H176" s="16"/>
      <c r="I176" s="16">
        <v>47068.0</v>
      </c>
      <c r="J176" s="11" t="s">
        <v>85</v>
      </c>
      <c r="K176" s="11" t="s">
        <v>62</v>
      </c>
      <c r="L176" s="18">
        <v>46286.55918981481</v>
      </c>
      <c r="M176" s="18">
        <v>46286.55920138889</v>
      </c>
      <c r="N176" s="11" t="s">
        <v>63</v>
      </c>
      <c r="O176" s="11">
        <v>0.0</v>
      </c>
      <c r="P176" s="11" t="s">
        <v>909</v>
      </c>
      <c r="Q176" s="11" t="s">
        <v>1543</v>
      </c>
      <c r="R176" s="11"/>
      <c r="S176" s="11" t="s">
        <v>1544</v>
      </c>
      <c r="T176" s="11"/>
      <c r="U176" s="11" t="s">
        <v>1545</v>
      </c>
      <c r="V176" s="11" t="s">
        <v>68</v>
      </c>
      <c r="W176" s="11" t="s">
        <v>1546</v>
      </c>
      <c r="X176" s="11" t="s">
        <v>69</v>
      </c>
      <c r="Y176" s="11" t="s">
        <v>1547</v>
      </c>
      <c r="Z176" s="11">
        <v>1.155026751E9</v>
      </c>
      <c r="AA176" s="11" t="s">
        <v>92</v>
      </c>
      <c r="AB176" s="11"/>
      <c r="AC176" s="11"/>
      <c r="AD176" s="11"/>
      <c r="AE176" s="11" t="s">
        <v>1548</v>
      </c>
      <c r="AF176" s="11" t="s">
        <v>1549</v>
      </c>
      <c r="AG176" s="18">
        <v>46286.68418981481</v>
      </c>
      <c r="AH176" s="18">
        <v>46286.68420138889</v>
      </c>
      <c r="AI176" s="11"/>
      <c r="AJ176" s="11"/>
      <c r="AK176" s="11">
        <v>18253.0</v>
      </c>
      <c r="AL176" s="21" t="s">
        <v>1423</v>
      </c>
      <c r="AM176" s="16"/>
      <c r="AN176" s="14" t="s">
        <v>39</v>
      </c>
      <c r="AO176" s="23" t="s">
        <v>1550</v>
      </c>
      <c r="AP176" s="16" t="s">
        <v>76</v>
      </c>
      <c r="AQ176" s="16">
        <v>3458.0</v>
      </c>
      <c r="AR176" s="16"/>
      <c r="AS176" s="11" t="s">
        <v>97</v>
      </c>
      <c r="AT176" s="11" t="s">
        <v>1551</v>
      </c>
      <c r="AU176" s="11" t="s">
        <v>1552</v>
      </c>
      <c r="AV176" s="11">
        <v>5.3208064E7</v>
      </c>
      <c r="AW176" s="11" t="s">
        <v>79</v>
      </c>
      <c r="AX176" s="11">
        <v>1.155026751E9</v>
      </c>
      <c r="AY176" s="11" t="s">
        <v>1553</v>
      </c>
      <c r="AZ176" s="31">
        <v>41417.0</v>
      </c>
      <c r="BA176" s="11" t="s">
        <v>1526</v>
      </c>
      <c r="BB176" s="11" t="s">
        <v>349</v>
      </c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</row>
    <row r="177" ht="19.5" customHeight="1">
      <c r="A177" s="10" t="b">
        <v>0</v>
      </c>
      <c r="B177" s="11"/>
      <c r="C177" s="13" t="s">
        <v>60</v>
      </c>
      <c r="D177" s="14" t="s">
        <v>60</v>
      </c>
      <c r="E177" s="11"/>
      <c r="F177" s="15" t="s">
        <v>84</v>
      </c>
      <c r="G177" s="16">
        <v>402.0</v>
      </c>
      <c r="H177" s="16"/>
      <c r="I177" s="16">
        <v>47126.0</v>
      </c>
      <c r="J177" s="11" t="s">
        <v>85</v>
      </c>
      <c r="K177" s="11" t="s">
        <v>62</v>
      </c>
      <c r="L177" s="18">
        <v>46286.73032407407</v>
      </c>
      <c r="M177" s="18">
        <v>46286.73032407407</v>
      </c>
      <c r="N177" s="11" t="s">
        <v>63</v>
      </c>
      <c r="O177" s="11">
        <v>0.0</v>
      </c>
      <c r="P177" s="11" t="s">
        <v>120</v>
      </c>
      <c r="Q177" s="11" t="s">
        <v>1554</v>
      </c>
      <c r="R177" s="11"/>
      <c r="S177" s="11" t="s">
        <v>1555</v>
      </c>
      <c r="T177" s="11"/>
      <c r="U177" s="11" t="s">
        <v>1556</v>
      </c>
      <c r="V177" s="11" t="s">
        <v>68</v>
      </c>
      <c r="W177" s="11">
        <v>1670.0</v>
      </c>
      <c r="X177" s="11" t="s">
        <v>69</v>
      </c>
      <c r="Y177" s="11" t="s">
        <v>1557</v>
      </c>
      <c r="Z177" s="11">
        <v>1.121600067E9</v>
      </c>
      <c r="AA177" s="11" t="s">
        <v>92</v>
      </c>
      <c r="AB177" s="11"/>
      <c r="AC177" s="11"/>
      <c r="AD177" s="11"/>
      <c r="AE177" s="11" t="s">
        <v>1558</v>
      </c>
      <c r="AF177" s="11" t="s">
        <v>1559</v>
      </c>
      <c r="AG177" s="18">
        <v>46286.85532407407</v>
      </c>
      <c r="AH177" s="18">
        <v>46286.85532407407</v>
      </c>
      <c r="AI177" s="11"/>
      <c r="AJ177" s="11"/>
      <c r="AK177" s="11">
        <v>18253.0</v>
      </c>
      <c r="AL177" s="21" t="s">
        <v>1423</v>
      </c>
      <c r="AM177" s="16" t="s">
        <v>1426</v>
      </c>
      <c r="AN177" s="14" t="s">
        <v>39</v>
      </c>
      <c r="AO177" s="23" t="s">
        <v>1560</v>
      </c>
      <c r="AP177" s="16" t="s">
        <v>76</v>
      </c>
      <c r="AQ177" s="16">
        <v>420.0</v>
      </c>
      <c r="AR177" s="16"/>
      <c r="AS177" s="11" t="s">
        <v>97</v>
      </c>
      <c r="AT177" s="11" t="s">
        <v>706</v>
      </c>
      <c r="AU177" s="11" t="s">
        <v>1554</v>
      </c>
      <c r="AV177" s="11">
        <v>5.5341062E7</v>
      </c>
      <c r="AW177" s="11" t="s">
        <v>79</v>
      </c>
      <c r="AX177" s="11">
        <v>1.121600067E9</v>
      </c>
      <c r="AY177" s="11" t="s">
        <v>1557</v>
      </c>
      <c r="AZ177" s="31">
        <v>42389.0</v>
      </c>
      <c r="BA177" s="11" t="s">
        <v>144</v>
      </c>
      <c r="BB177" s="11" t="s">
        <v>101</v>
      </c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</row>
    <row r="178" ht="19.5" customHeight="1">
      <c r="A178" s="10" t="b">
        <v>0</v>
      </c>
      <c r="B178" s="11"/>
      <c r="C178" s="13" t="s">
        <v>60</v>
      </c>
      <c r="D178" s="14" t="s">
        <v>60</v>
      </c>
      <c r="E178" s="11"/>
      <c r="F178" s="15" t="s">
        <v>84</v>
      </c>
      <c r="G178" s="16">
        <v>422.0</v>
      </c>
      <c r="H178" s="16"/>
      <c r="I178" s="16">
        <v>47148.0</v>
      </c>
      <c r="J178" s="11" t="s">
        <v>85</v>
      </c>
      <c r="K178" s="11" t="s">
        <v>62</v>
      </c>
      <c r="L178" s="18">
        <v>46286.78034722222</v>
      </c>
      <c r="M178" s="18">
        <v>46286.7803587963</v>
      </c>
      <c r="N178" s="11" t="s">
        <v>63</v>
      </c>
      <c r="O178" s="11">
        <v>0.0</v>
      </c>
      <c r="P178" s="11" t="s">
        <v>120</v>
      </c>
      <c r="Q178" s="11" t="s">
        <v>1554</v>
      </c>
      <c r="R178" s="11"/>
      <c r="S178" s="11" t="s">
        <v>1555</v>
      </c>
      <c r="T178" s="11"/>
      <c r="U178" s="11" t="s">
        <v>1556</v>
      </c>
      <c r="V178" s="11" t="s">
        <v>68</v>
      </c>
      <c r="W178" s="11">
        <v>1670.0</v>
      </c>
      <c r="X178" s="11" t="s">
        <v>69</v>
      </c>
      <c r="Y178" s="11" t="s">
        <v>1557</v>
      </c>
      <c r="Z178" s="11">
        <v>1.121600067E9</v>
      </c>
      <c r="AA178" s="11" t="s">
        <v>92</v>
      </c>
      <c r="AB178" s="11"/>
      <c r="AC178" s="11"/>
      <c r="AD178" s="11"/>
      <c r="AE178" s="11" t="s">
        <v>1561</v>
      </c>
      <c r="AF178" s="11" t="s">
        <v>1562</v>
      </c>
      <c r="AG178" s="18">
        <v>46286.90534722222</v>
      </c>
      <c r="AH178" s="18">
        <v>46286.9053587963</v>
      </c>
      <c r="AI178" s="11"/>
      <c r="AJ178" s="11"/>
      <c r="AK178" s="11">
        <v>18253.0</v>
      </c>
      <c r="AL178" s="21" t="s">
        <v>1423</v>
      </c>
      <c r="AM178" s="16"/>
      <c r="AN178" s="16"/>
      <c r="AO178" s="23"/>
      <c r="AP178" s="16" t="s">
        <v>76</v>
      </c>
      <c r="AQ178" s="16">
        <v>4368.0</v>
      </c>
      <c r="AR178" s="16"/>
      <c r="AS178" s="11" t="s">
        <v>1467</v>
      </c>
      <c r="AT178" s="11" t="s">
        <v>120</v>
      </c>
      <c r="AU178" s="11" t="s">
        <v>1554</v>
      </c>
      <c r="AV178" s="11">
        <v>5.3202237E7</v>
      </c>
      <c r="AW178" s="11" t="s">
        <v>99</v>
      </c>
      <c r="AX178" s="11">
        <v>1.121600067E9</v>
      </c>
      <c r="AY178" s="11" t="s">
        <v>1557</v>
      </c>
      <c r="AZ178" s="24">
        <v>41415.0</v>
      </c>
      <c r="BA178" s="11" t="s">
        <v>144</v>
      </c>
      <c r="BB178" s="11" t="s">
        <v>101</v>
      </c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</row>
    <row r="179" ht="19.5" customHeight="1">
      <c r="A179" s="10" t="b">
        <v>0</v>
      </c>
      <c r="B179" s="11"/>
      <c r="C179" s="13" t="s">
        <v>60</v>
      </c>
      <c r="D179" s="14" t="s">
        <v>60</v>
      </c>
      <c r="E179" s="11"/>
      <c r="F179" s="15" t="s">
        <v>84</v>
      </c>
      <c r="G179" s="16">
        <v>476.0</v>
      </c>
      <c r="H179" s="16"/>
      <c r="I179" s="16">
        <v>47202.0</v>
      </c>
      <c r="J179" s="11" t="s">
        <v>85</v>
      </c>
      <c r="K179" s="11" t="s">
        <v>62</v>
      </c>
      <c r="L179" s="18">
        <v>46286.919386574074</v>
      </c>
      <c r="M179" s="18">
        <v>46286.919386574074</v>
      </c>
      <c r="N179" s="11" t="s">
        <v>63</v>
      </c>
      <c r="O179" s="11">
        <v>0.0</v>
      </c>
      <c r="P179" s="11" t="s">
        <v>1563</v>
      </c>
      <c r="Q179" s="11" t="s">
        <v>1564</v>
      </c>
      <c r="R179" s="11"/>
      <c r="S179" s="11" t="s">
        <v>1565</v>
      </c>
      <c r="T179" s="11" t="s">
        <v>1566</v>
      </c>
      <c r="U179" s="11" t="s">
        <v>1567</v>
      </c>
      <c r="V179" s="11" t="s">
        <v>68</v>
      </c>
      <c r="W179" s="11">
        <v>1425.0</v>
      </c>
      <c r="X179" s="11" t="s">
        <v>69</v>
      </c>
      <c r="Y179" s="11" t="s">
        <v>1568</v>
      </c>
      <c r="Z179" s="11">
        <v>5.98549116321787E15</v>
      </c>
      <c r="AA179" s="11" t="s">
        <v>92</v>
      </c>
      <c r="AB179" s="11"/>
      <c r="AC179" s="11"/>
      <c r="AD179" s="11"/>
      <c r="AE179" s="11" t="s">
        <v>1569</v>
      </c>
      <c r="AF179" s="11" t="s">
        <v>1570</v>
      </c>
      <c r="AG179" s="18">
        <v>46287.044386574074</v>
      </c>
      <c r="AH179" s="18">
        <v>46287.044386574074</v>
      </c>
      <c r="AI179" s="11"/>
      <c r="AJ179" s="11"/>
      <c r="AK179" s="11">
        <v>18253.0</v>
      </c>
      <c r="AL179" s="21" t="s">
        <v>1423</v>
      </c>
      <c r="AM179" s="16"/>
      <c r="AN179" s="14" t="s">
        <v>39</v>
      </c>
      <c r="AO179" s="23" t="s">
        <v>1571</v>
      </c>
      <c r="AP179" s="16" t="s">
        <v>76</v>
      </c>
      <c r="AQ179" s="16">
        <v>4354.0</v>
      </c>
      <c r="AR179" s="16"/>
      <c r="AS179" s="11" t="s">
        <v>97</v>
      </c>
      <c r="AT179" s="11" t="s">
        <v>1572</v>
      </c>
      <c r="AU179" s="11" t="s">
        <v>1564</v>
      </c>
      <c r="AV179" s="11">
        <v>5.2441977E7</v>
      </c>
      <c r="AW179" s="11" t="s">
        <v>79</v>
      </c>
      <c r="AX179" s="11">
        <v>6.3217878E7</v>
      </c>
      <c r="AY179" s="11" t="s">
        <v>1568</v>
      </c>
      <c r="AZ179" s="24">
        <v>40998.0</v>
      </c>
      <c r="BA179" s="11" t="s">
        <v>144</v>
      </c>
      <c r="BB179" s="11" t="s">
        <v>1573</v>
      </c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</row>
    <row r="180" ht="19.5" customHeight="1">
      <c r="A180" s="10" t="b">
        <v>0</v>
      </c>
      <c r="B180" s="11"/>
      <c r="C180" s="13" t="s">
        <v>60</v>
      </c>
      <c r="D180" s="14" t="s">
        <v>60</v>
      </c>
      <c r="E180" s="11"/>
      <c r="F180" s="15" t="s">
        <v>84</v>
      </c>
      <c r="G180" s="16">
        <v>642.0</v>
      </c>
      <c r="H180" s="16"/>
      <c r="I180" s="16">
        <v>47373.0</v>
      </c>
      <c r="J180" s="11" t="s">
        <v>85</v>
      </c>
      <c r="K180" s="11" t="s">
        <v>62</v>
      </c>
      <c r="L180" s="18">
        <v>46287.862488425926</v>
      </c>
      <c r="M180" s="18">
        <v>46287.8625</v>
      </c>
      <c r="N180" s="11" t="s">
        <v>63</v>
      </c>
      <c r="O180" s="11">
        <v>0.0</v>
      </c>
      <c r="P180" s="11" t="s">
        <v>1574</v>
      </c>
      <c r="Q180" s="11" t="s">
        <v>1575</v>
      </c>
      <c r="R180" s="11"/>
      <c r="S180" s="11" t="s">
        <v>1576</v>
      </c>
      <c r="T180" s="11"/>
      <c r="U180" s="11" t="s">
        <v>643</v>
      </c>
      <c r="V180" s="11" t="s">
        <v>101</v>
      </c>
      <c r="W180" s="11">
        <v>2000.0</v>
      </c>
      <c r="X180" s="11" t="s">
        <v>69</v>
      </c>
      <c r="Y180" s="11" t="s">
        <v>1577</v>
      </c>
      <c r="Z180" s="11">
        <v>3.413455501E9</v>
      </c>
      <c r="AA180" s="11" t="s">
        <v>92</v>
      </c>
      <c r="AB180" s="11"/>
      <c r="AC180" s="11"/>
      <c r="AD180" s="11"/>
      <c r="AE180" s="11" t="s">
        <v>1578</v>
      </c>
      <c r="AF180" s="11" t="s">
        <v>1579</v>
      </c>
      <c r="AG180" s="18">
        <v>46287.987488425926</v>
      </c>
      <c r="AH180" s="18">
        <v>46287.9875</v>
      </c>
      <c r="AI180" s="11"/>
      <c r="AJ180" s="11"/>
      <c r="AK180" s="11">
        <v>18253.0</v>
      </c>
      <c r="AL180" s="21" t="s">
        <v>1423</v>
      </c>
      <c r="AM180" s="16"/>
      <c r="AN180" s="16"/>
      <c r="AO180" s="23"/>
      <c r="AP180" s="16" t="s">
        <v>76</v>
      </c>
      <c r="AQ180" s="16">
        <v>4285.0</v>
      </c>
      <c r="AR180" s="16"/>
      <c r="AS180" s="11" t="s">
        <v>97</v>
      </c>
      <c r="AT180" s="11" t="s">
        <v>638</v>
      </c>
      <c r="AU180" s="11" t="s">
        <v>1580</v>
      </c>
      <c r="AV180" s="11">
        <v>5.2875058E7</v>
      </c>
      <c r="AW180" s="11" t="s">
        <v>99</v>
      </c>
      <c r="AX180" s="11">
        <v>3.413455501E9</v>
      </c>
      <c r="AY180" s="11" t="s">
        <v>1581</v>
      </c>
      <c r="AZ180" s="24">
        <v>41243.0</v>
      </c>
      <c r="BA180" s="11" t="s">
        <v>811</v>
      </c>
      <c r="BB180" s="11" t="s">
        <v>101</v>
      </c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</row>
    <row r="181" ht="19.5" customHeight="1">
      <c r="A181" s="10" t="b">
        <v>0</v>
      </c>
      <c r="B181" s="11"/>
      <c r="C181" s="13" t="s">
        <v>60</v>
      </c>
      <c r="D181" s="14" t="s">
        <v>60</v>
      </c>
      <c r="E181" s="11"/>
      <c r="F181" s="15" t="s">
        <v>163</v>
      </c>
      <c r="G181" s="16">
        <v>327.0</v>
      </c>
      <c r="H181" s="16"/>
      <c r="I181" s="16">
        <v>47050.0</v>
      </c>
      <c r="J181" s="11" t="s">
        <v>61</v>
      </c>
      <c r="K181" s="11" t="s">
        <v>62</v>
      </c>
      <c r="L181" s="18">
        <v>46286.50063657408</v>
      </c>
      <c r="M181" s="18">
        <v>46286.500659722224</v>
      </c>
      <c r="N181" s="11" t="s">
        <v>63</v>
      </c>
      <c r="O181" s="11">
        <v>0.0</v>
      </c>
      <c r="P181" s="11" t="s">
        <v>1582</v>
      </c>
      <c r="Q181" s="11" t="s">
        <v>1583</v>
      </c>
      <c r="R181" s="11"/>
      <c r="S181" s="11" t="s">
        <v>1584</v>
      </c>
      <c r="T181" s="11" t="s">
        <v>1585</v>
      </c>
      <c r="U181" s="11" t="s">
        <v>1586</v>
      </c>
      <c r="V181" s="11" t="s">
        <v>1587</v>
      </c>
      <c r="W181" s="11">
        <v>3300.0</v>
      </c>
      <c r="X181" s="11" t="s">
        <v>69</v>
      </c>
      <c r="Y181" s="11" t="s">
        <v>1588</v>
      </c>
      <c r="Z181" s="11">
        <v>3.764560131E9</v>
      </c>
      <c r="AA181" s="11" t="s">
        <v>187</v>
      </c>
      <c r="AB181" s="11"/>
      <c r="AC181" s="11"/>
      <c r="AD181" s="11"/>
      <c r="AE181" s="11" t="s">
        <v>1589</v>
      </c>
      <c r="AF181" s="11" t="s">
        <v>1590</v>
      </c>
      <c r="AG181" s="18">
        <v>46286.62563657408</v>
      </c>
      <c r="AH181" s="18">
        <v>46286.625659722224</v>
      </c>
      <c r="AI181" s="11"/>
      <c r="AJ181" s="11"/>
      <c r="AK181" s="11">
        <v>18253.0</v>
      </c>
      <c r="AL181" s="21" t="s">
        <v>1423</v>
      </c>
      <c r="AM181" s="16"/>
      <c r="AN181" s="16"/>
      <c r="AO181" s="23" t="s">
        <v>1591</v>
      </c>
      <c r="AP181" s="16" t="s">
        <v>76</v>
      </c>
      <c r="AQ181" s="16">
        <v>3629.0</v>
      </c>
      <c r="AR181" s="16"/>
      <c r="AS181" s="11" t="s">
        <v>1592</v>
      </c>
      <c r="AT181" s="11" t="s">
        <v>1593</v>
      </c>
      <c r="AU181" s="11" t="s">
        <v>765</v>
      </c>
      <c r="AV181" s="11">
        <v>5.1377058E7</v>
      </c>
      <c r="AW181" s="11" t="s">
        <v>99</v>
      </c>
      <c r="AX181" s="11">
        <v>3.764560131E9</v>
      </c>
      <c r="AY181" s="11" t="s">
        <v>1588</v>
      </c>
      <c r="AZ181" s="24">
        <v>40809.0</v>
      </c>
      <c r="BA181" s="11" t="s">
        <v>1591</v>
      </c>
      <c r="BB181" s="11" t="s">
        <v>101</v>
      </c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</row>
    <row r="182" ht="19.5" customHeight="1">
      <c r="A182" s="10" t="b">
        <v>0</v>
      </c>
      <c r="B182" s="11"/>
      <c r="C182" s="13" t="s">
        <v>60</v>
      </c>
      <c r="D182" s="14" t="s">
        <v>60</v>
      </c>
      <c r="E182" s="11"/>
      <c r="F182" s="15" t="s">
        <v>163</v>
      </c>
      <c r="G182" s="16">
        <v>581.0</v>
      </c>
      <c r="H182" s="16"/>
      <c r="I182" s="16">
        <v>47307.0</v>
      </c>
      <c r="J182" s="11" t="s">
        <v>61</v>
      </c>
      <c r="K182" s="11" t="s">
        <v>62</v>
      </c>
      <c r="L182" s="18">
        <v>46287.68158564815</v>
      </c>
      <c r="M182" s="18">
        <v>46287.68158564815</v>
      </c>
      <c r="N182" s="11" t="s">
        <v>63</v>
      </c>
      <c r="O182" s="11">
        <v>0.0</v>
      </c>
      <c r="P182" s="11" t="s">
        <v>164</v>
      </c>
      <c r="Q182" s="11" t="s">
        <v>165</v>
      </c>
      <c r="R182" s="11"/>
      <c r="S182" s="11" t="s">
        <v>166</v>
      </c>
      <c r="T182" s="11"/>
      <c r="U182" s="11" t="s">
        <v>167</v>
      </c>
      <c r="V182" s="11" t="s">
        <v>168</v>
      </c>
      <c r="W182" s="11">
        <v>2520000.0</v>
      </c>
      <c r="X182" s="11" t="s">
        <v>169</v>
      </c>
      <c r="Y182" s="11" t="s">
        <v>170</v>
      </c>
      <c r="Z182" s="11">
        <v>5.6979844281E10</v>
      </c>
      <c r="AA182" s="11" t="s">
        <v>187</v>
      </c>
      <c r="AB182" s="11"/>
      <c r="AC182" s="11"/>
      <c r="AD182" s="11"/>
      <c r="AE182" s="11" t="s">
        <v>1594</v>
      </c>
      <c r="AF182" s="11" t="s">
        <v>1595</v>
      </c>
      <c r="AG182" s="18">
        <v>46287.80658564815</v>
      </c>
      <c r="AH182" s="18">
        <v>46287.80658564815</v>
      </c>
      <c r="AI182" s="11"/>
      <c r="AJ182" s="11"/>
      <c r="AK182" s="11">
        <v>18253.0</v>
      </c>
      <c r="AL182" s="21" t="s">
        <v>1423</v>
      </c>
      <c r="AM182" s="16"/>
      <c r="AN182" s="16"/>
      <c r="AO182" s="23"/>
      <c r="AP182" s="16" t="s">
        <v>175</v>
      </c>
      <c r="AQ182" s="16">
        <v>587.0</v>
      </c>
      <c r="AR182" s="16"/>
      <c r="AS182" s="11" t="s">
        <v>176</v>
      </c>
      <c r="AT182" s="11" t="s">
        <v>1596</v>
      </c>
      <c r="AU182" s="11" t="s">
        <v>178</v>
      </c>
      <c r="AV182" s="11">
        <v>2.6787204E7</v>
      </c>
      <c r="AW182" s="11" t="s">
        <v>99</v>
      </c>
      <c r="AX182" s="11">
        <v>5.6979844281E10</v>
      </c>
      <c r="AY182" s="11" t="s">
        <v>170</v>
      </c>
      <c r="AZ182" s="24">
        <v>41755.0</v>
      </c>
      <c r="BA182" s="11" t="s">
        <v>179</v>
      </c>
      <c r="BB182" s="11" t="s">
        <v>101</v>
      </c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</row>
    <row r="183" ht="19.5" customHeight="1">
      <c r="A183" s="10" t="b">
        <v>0</v>
      </c>
      <c r="B183" s="11"/>
      <c r="C183" s="13" t="s">
        <v>60</v>
      </c>
      <c r="D183" s="14" t="s">
        <v>60</v>
      </c>
      <c r="E183" s="11"/>
      <c r="F183" s="15" t="s">
        <v>163</v>
      </c>
      <c r="G183" s="16">
        <v>583.0</v>
      </c>
      <c r="H183" s="16"/>
      <c r="I183" s="16">
        <v>47309.0</v>
      </c>
      <c r="J183" s="11" t="s">
        <v>61</v>
      </c>
      <c r="K183" s="11" t="s">
        <v>62</v>
      </c>
      <c r="L183" s="18">
        <v>46287.68759259259</v>
      </c>
      <c r="M183" s="18">
        <v>46287.68760416667</v>
      </c>
      <c r="N183" s="11" t="s">
        <v>63</v>
      </c>
      <c r="O183" s="11">
        <v>0.0</v>
      </c>
      <c r="P183" s="11" t="s">
        <v>164</v>
      </c>
      <c r="Q183" s="11" t="s">
        <v>165</v>
      </c>
      <c r="R183" s="11"/>
      <c r="S183" s="11" t="s">
        <v>166</v>
      </c>
      <c r="T183" s="11"/>
      <c r="U183" s="11" t="s">
        <v>167</v>
      </c>
      <c r="V183" s="11" t="s">
        <v>168</v>
      </c>
      <c r="W183" s="11">
        <v>2520000.0</v>
      </c>
      <c r="X183" s="11" t="s">
        <v>169</v>
      </c>
      <c r="Y183" s="11" t="s">
        <v>170</v>
      </c>
      <c r="Z183" s="11">
        <v>5.6979844281E10</v>
      </c>
      <c r="AA183" s="11" t="s">
        <v>171</v>
      </c>
      <c r="AB183" s="11"/>
      <c r="AC183" s="11"/>
      <c r="AD183" s="11"/>
      <c r="AE183" s="11" t="s">
        <v>1597</v>
      </c>
      <c r="AF183" s="11" t="s">
        <v>1598</v>
      </c>
      <c r="AG183" s="18">
        <v>46287.81259259259</v>
      </c>
      <c r="AH183" s="18">
        <v>46287.81260416667</v>
      </c>
      <c r="AI183" s="11"/>
      <c r="AJ183" s="11"/>
      <c r="AK183" s="11">
        <v>18253.0</v>
      </c>
      <c r="AL183" s="21" t="s">
        <v>1423</v>
      </c>
      <c r="AM183" s="16"/>
      <c r="AN183" s="16"/>
      <c r="AO183" s="23" t="s">
        <v>1599</v>
      </c>
      <c r="AP183" s="16" t="s">
        <v>175</v>
      </c>
      <c r="AQ183" s="16">
        <v>767.0</v>
      </c>
      <c r="AR183" s="16"/>
      <c r="AS183" s="11" t="s">
        <v>176</v>
      </c>
      <c r="AT183" s="11" t="s">
        <v>717</v>
      </c>
      <c r="AU183" s="11" t="s">
        <v>1600</v>
      </c>
      <c r="AV183" s="11">
        <v>2.35768321E8</v>
      </c>
      <c r="AW183" s="11" t="s">
        <v>99</v>
      </c>
      <c r="AX183" s="11">
        <v>5.6979844281E10</v>
      </c>
      <c r="AY183" s="11" t="s">
        <v>170</v>
      </c>
      <c r="AZ183" s="24">
        <v>40608.0</v>
      </c>
      <c r="BA183" s="11" t="s">
        <v>179</v>
      </c>
      <c r="BB183" s="11" t="s">
        <v>81</v>
      </c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</row>
    <row r="184" ht="19.5" customHeight="1">
      <c r="A184" s="10" t="b">
        <v>1</v>
      </c>
      <c r="B184" s="10" t="s">
        <v>1601</v>
      </c>
      <c r="C184" s="13" t="s">
        <v>60</v>
      </c>
      <c r="D184" s="14" t="s">
        <v>60</v>
      </c>
      <c r="E184" s="11"/>
      <c r="F184" s="15" t="s">
        <v>163</v>
      </c>
      <c r="G184" s="14">
        <v>1093.0</v>
      </c>
      <c r="H184" s="16"/>
      <c r="I184" s="38">
        <v>47438.0</v>
      </c>
      <c r="J184" s="33" t="s">
        <v>61</v>
      </c>
      <c r="K184" s="33" t="s">
        <v>62</v>
      </c>
      <c r="L184" s="34">
        <v>46294.67083333333</v>
      </c>
      <c r="M184" s="34">
        <v>46294.67083333333</v>
      </c>
      <c r="N184" s="33" t="s">
        <v>63</v>
      </c>
      <c r="O184" s="32">
        <v>9.0</v>
      </c>
      <c r="P184" s="33" t="s">
        <v>176</v>
      </c>
      <c r="Q184" s="32">
        <v>0.0</v>
      </c>
      <c r="R184" s="35"/>
      <c r="S184" s="32">
        <v>0.0</v>
      </c>
      <c r="T184" s="32">
        <v>0.0</v>
      </c>
      <c r="U184" s="32">
        <v>0.0</v>
      </c>
      <c r="V184" s="33" t="s">
        <v>68</v>
      </c>
      <c r="W184" s="32">
        <v>0.0</v>
      </c>
      <c r="X184" s="33" t="s">
        <v>69</v>
      </c>
      <c r="Y184" s="33" t="s">
        <v>1602</v>
      </c>
      <c r="Z184" s="32">
        <v>0.0</v>
      </c>
      <c r="AA184" s="33" t="s">
        <v>187</v>
      </c>
      <c r="AB184" s="35"/>
      <c r="AC184" s="35"/>
      <c r="AD184" s="46"/>
      <c r="AE184" s="36" t="s">
        <v>1603</v>
      </c>
      <c r="AF184" s="36" t="s">
        <v>1604</v>
      </c>
      <c r="AG184" s="34">
        <v>46294.79583333333</v>
      </c>
      <c r="AH184" s="34">
        <v>46294.79583333333</v>
      </c>
      <c r="AI184" s="35"/>
      <c r="AJ184" s="46"/>
      <c r="AK184" s="32">
        <v>18253.0</v>
      </c>
      <c r="AL184" s="33" t="s">
        <v>1423</v>
      </c>
      <c r="AM184" s="33"/>
      <c r="AN184" s="35"/>
      <c r="AO184" s="33" t="s">
        <v>76</v>
      </c>
      <c r="AP184" s="43" t="s">
        <v>175</v>
      </c>
      <c r="AQ184" s="38">
        <v>430.0</v>
      </c>
      <c r="AR184" s="35"/>
      <c r="AS184" s="33" t="s">
        <v>176</v>
      </c>
      <c r="AT184" s="33" t="s">
        <v>1605</v>
      </c>
      <c r="AU184" s="33" t="s">
        <v>1606</v>
      </c>
      <c r="AV184" s="32">
        <v>2.43069688E8</v>
      </c>
      <c r="AW184" s="33" t="s">
        <v>99</v>
      </c>
      <c r="AX184" s="32">
        <v>5.6979844281E10</v>
      </c>
      <c r="AY184" s="33" t="s">
        <v>170</v>
      </c>
      <c r="AZ184" s="39">
        <v>41427.0</v>
      </c>
      <c r="BA184" s="33" t="s">
        <v>1607</v>
      </c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</row>
    <row r="185" ht="19.5" customHeight="1">
      <c r="A185" s="10" t="b">
        <v>0</v>
      </c>
      <c r="B185" s="44"/>
      <c r="C185" s="13" t="s">
        <v>60</v>
      </c>
      <c r="D185" s="14" t="s">
        <v>60</v>
      </c>
      <c r="E185" s="11"/>
      <c r="F185" s="15" t="s">
        <v>4</v>
      </c>
      <c r="G185" s="16">
        <v>14.0</v>
      </c>
      <c r="H185" s="16"/>
      <c r="I185" s="16">
        <v>46656.0</v>
      </c>
      <c r="J185" s="11" t="s">
        <v>61</v>
      </c>
      <c r="K185" s="11" t="s">
        <v>62</v>
      </c>
      <c r="L185" s="18">
        <v>46266.785219907404</v>
      </c>
      <c r="M185" s="18">
        <v>46266.78523148148</v>
      </c>
      <c r="N185" s="11" t="s">
        <v>63</v>
      </c>
      <c r="O185" s="11">
        <v>0.0</v>
      </c>
      <c r="P185" s="11" t="s">
        <v>939</v>
      </c>
      <c r="Q185" s="11" t="s">
        <v>1608</v>
      </c>
      <c r="R185" s="11"/>
      <c r="S185" s="11" t="s">
        <v>1609</v>
      </c>
      <c r="T185" s="11">
        <v>9798.0</v>
      </c>
      <c r="U185" s="11" t="s">
        <v>134</v>
      </c>
      <c r="V185" s="11" t="s">
        <v>784</v>
      </c>
      <c r="W185" s="11">
        <v>7650256.0</v>
      </c>
      <c r="X185" s="11" t="s">
        <v>169</v>
      </c>
      <c r="Y185" s="11" t="s">
        <v>1610</v>
      </c>
      <c r="Z185" s="11">
        <v>5.6976971061E10</v>
      </c>
      <c r="AA185" s="11" t="s">
        <v>187</v>
      </c>
      <c r="AB185" s="11"/>
      <c r="AC185" s="11"/>
      <c r="AD185" s="11"/>
      <c r="AE185" s="11" t="s">
        <v>1611</v>
      </c>
      <c r="AF185" s="11" t="s">
        <v>1612</v>
      </c>
      <c r="AG185" s="18">
        <v>46266.910219907404</v>
      </c>
      <c r="AH185" s="18">
        <v>46266.91023148148</v>
      </c>
      <c r="AI185" s="11"/>
      <c r="AJ185" s="11"/>
      <c r="AK185" s="11">
        <v>18253.0</v>
      </c>
      <c r="AL185" s="21" t="s">
        <v>1423</v>
      </c>
      <c r="AM185" s="16"/>
      <c r="AN185" s="16"/>
      <c r="AO185" s="23" t="s">
        <v>1613</v>
      </c>
      <c r="AP185" s="16" t="s">
        <v>175</v>
      </c>
      <c r="AQ185" s="16">
        <v>428.0</v>
      </c>
      <c r="AR185" s="16"/>
      <c r="AS185" s="11" t="s">
        <v>176</v>
      </c>
      <c r="AT185" s="11" t="s">
        <v>1614</v>
      </c>
      <c r="AU185" s="11" t="s">
        <v>1608</v>
      </c>
      <c r="AV185" s="11">
        <v>2.46129495E8</v>
      </c>
      <c r="AW185" s="11" t="s">
        <v>99</v>
      </c>
      <c r="AX185" s="11">
        <v>5.6976971061E10</v>
      </c>
      <c r="AY185" s="11" t="s">
        <v>1610</v>
      </c>
      <c r="AZ185" s="24">
        <v>41764.0</v>
      </c>
      <c r="BA185" s="11" t="s">
        <v>1615</v>
      </c>
      <c r="BB185" s="11" t="s">
        <v>101</v>
      </c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</row>
    <row r="186" ht="19.5" customHeight="1">
      <c r="A186" s="10" t="b">
        <v>0</v>
      </c>
      <c r="B186" s="11"/>
      <c r="C186" s="13" t="s">
        <v>60</v>
      </c>
      <c r="D186" s="14" t="s">
        <v>60</v>
      </c>
      <c r="E186" s="11"/>
      <c r="F186" s="15" t="s">
        <v>4</v>
      </c>
      <c r="G186" s="16">
        <v>370.0</v>
      </c>
      <c r="H186" s="16"/>
      <c r="I186" s="16">
        <v>47093.0</v>
      </c>
      <c r="J186" s="11" t="s">
        <v>61</v>
      </c>
      <c r="K186" s="11" t="s">
        <v>62</v>
      </c>
      <c r="L186" s="18">
        <v>46286.622465277775</v>
      </c>
      <c r="M186" s="18">
        <v>46286.62247685185</v>
      </c>
      <c r="N186" s="11" t="s">
        <v>63</v>
      </c>
      <c r="O186" s="11">
        <v>0.0</v>
      </c>
      <c r="P186" s="11" t="s">
        <v>416</v>
      </c>
      <c r="Q186" s="11" t="s">
        <v>1616</v>
      </c>
      <c r="R186" s="11"/>
      <c r="S186" s="11" t="s">
        <v>1617</v>
      </c>
      <c r="T186" s="11"/>
      <c r="U186" s="11" t="s">
        <v>1618</v>
      </c>
      <c r="V186" s="11" t="s">
        <v>1587</v>
      </c>
      <c r="W186" s="11">
        <v>3300.0</v>
      </c>
      <c r="X186" s="11" t="s">
        <v>69</v>
      </c>
      <c r="Y186" s="11" t="s">
        <v>1619</v>
      </c>
      <c r="Z186" s="11">
        <v>5.43764288264E11</v>
      </c>
      <c r="AA186" s="11" t="s">
        <v>187</v>
      </c>
      <c r="AB186" s="11"/>
      <c r="AC186" s="11"/>
      <c r="AD186" s="11"/>
      <c r="AE186" s="11" t="s">
        <v>1620</v>
      </c>
      <c r="AF186" s="11" t="s">
        <v>1621</v>
      </c>
      <c r="AG186" s="18">
        <v>46286.747465277775</v>
      </c>
      <c r="AH186" s="18">
        <v>46286.74747685185</v>
      </c>
      <c r="AI186" s="11"/>
      <c r="AJ186" s="11"/>
      <c r="AK186" s="11">
        <v>18253.0</v>
      </c>
      <c r="AL186" s="21" t="s">
        <v>1423</v>
      </c>
      <c r="AM186" s="16"/>
      <c r="AN186" s="16"/>
      <c r="AO186" s="23" t="s">
        <v>1622</v>
      </c>
      <c r="AP186" s="16" t="s">
        <v>76</v>
      </c>
      <c r="AQ186" s="16">
        <v>3722.0</v>
      </c>
      <c r="AR186" s="16"/>
      <c r="AS186" s="11" t="s">
        <v>1623</v>
      </c>
      <c r="AT186" s="11" t="s">
        <v>211</v>
      </c>
      <c r="AU186" s="11" t="s">
        <v>1616</v>
      </c>
      <c r="AV186" s="11">
        <v>5.2310735E7</v>
      </c>
      <c r="AW186" s="11" t="s">
        <v>99</v>
      </c>
      <c r="AX186" s="11">
        <v>3.764288264E9</v>
      </c>
      <c r="AY186" s="11" t="s">
        <v>1619</v>
      </c>
      <c r="AZ186" s="24">
        <v>41082.0</v>
      </c>
      <c r="BA186" s="11" t="s">
        <v>1624</v>
      </c>
      <c r="BB186" s="11" t="s">
        <v>81</v>
      </c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</row>
    <row r="187" ht="19.5" customHeight="1">
      <c r="A187" s="10" t="b">
        <v>0</v>
      </c>
      <c r="B187" s="11"/>
      <c r="C187" s="13" t="s">
        <v>59</v>
      </c>
      <c r="D187" s="14" t="s">
        <v>60</v>
      </c>
      <c r="E187" s="11"/>
      <c r="F187" s="15" t="s">
        <v>180</v>
      </c>
      <c r="G187" s="16">
        <v>414.0</v>
      </c>
      <c r="H187" s="16"/>
      <c r="I187" s="16">
        <v>47140.0</v>
      </c>
      <c r="J187" s="11" t="s">
        <v>61</v>
      </c>
      <c r="K187" s="11" t="s">
        <v>62</v>
      </c>
      <c r="L187" s="18">
        <v>46286.76321759259</v>
      </c>
      <c r="M187" s="18">
        <v>46286.76322916667</v>
      </c>
      <c r="N187" s="11" t="s">
        <v>63</v>
      </c>
      <c r="O187" s="11">
        <v>0.0</v>
      </c>
      <c r="P187" s="11" t="s">
        <v>1625</v>
      </c>
      <c r="Q187" s="11" t="s">
        <v>1626</v>
      </c>
      <c r="R187" s="11"/>
      <c r="S187" s="11" t="s">
        <v>1627</v>
      </c>
      <c r="T187" s="11"/>
      <c r="U187" s="11" t="s">
        <v>1618</v>
      </c>
      <c r="V187" s="11" t="s">
        <v>1587</v>
      </c>
      <c r="W187" s="11">
        <v>3300.0</v>
      </c>
      <c r="X187" s="11" t="s">
        <v>69</v>
      </c>
      <c r="Y187" s="11" t="s">
        <v>1628</v>
      </c>
      <c r="Z187" s="11">
        <v>3.764622324E9</v>
      </c>
      <c r="AA187" s="11" t="s">
        <v>187</v>
      </c>
      <c r="AB187" s="11"/>
      <c r="AC187" s="11"/>
      <c r="AD187" s="11"/>
      <c r="AE187" s="11" t="s">
        <v>1629</v>
      </c>
      <c r="AF187" s="11" t="s">
        <v>1630</v>
      </c>
      <c r="AG187" s="18">
        <v>46286.88821759259</v>
      </c>
      <c r="AH187" s="18">
        <v>46286.88822916667</v>
      </c>
      <c r="AI187" s="11"/>
      <c r="AJ187" s="11"/>
      <c r="AK187" s="11">
        <v>18253.0</v>
      </c>
      <c r="AL187" s="21" t="s">
        <v>1423</v>
      </c>
      <c r="AM187" s="16"/>
      <c r="AN187" s="14"/>
      <c r="AO187" s="23"/>
      <c r="AP187" s="16" t="s">
        <v>76</v>
      </c>
      <c r="AQ187" s="16">
        <v>4107.0</v>
      </c>
      <c r="AR187" s="16"/>
      <c r="AS187" s="11" t="s">
        <v>1631</v>
      </c>
      <c r="AT187" s="11" t="s">
        <v>299</v>
      </c>
      <c r="AU187" s="11" t="s">
        <v>1626</v>
      </c>
      <c r="AV187" s="11">
        <v>5.2305556E7</v>
      </c>
      <c r="AW187" s="11" t="s">
        <v>99</v>
      </c>
      <c r="AX187" s="11">
        <v>3.764622324E9</v>
      </c>
      <c r="AY187" s="11" t="s">
        <v>1628</v>
      </c>
      <c r="AZ187" s="31">
        <v>40997.0</v>
      </c>
      <c r="BA187" s="11" t="s">
        <v>1632</v>
      </c>
      <c r="BB187" s="11" t="s">
        <v>349</v>
      </c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</row>
    <row r="188" ht="19.5" customHeight="1">
      <c r="A188" s="10" t="b">
        <v>0</v>
      </c>
      <c r="B188" s="11"/>
      <c r="C188" s="13" t="s">
        <v>59</v>
      </c>
      <c r="D188" s="14" t="s">
        <v>60</v>
      </c>
      <c r="E188" s="11"/>
      <c r="F188" s="15" t="s">
        <v>180</v>
      </c>
      <c r="G188" s="16">
        <v>628.0</v>
      </c>
      <c r="H188" s="16"/>
      <c r="I188" s="16">
        <v>47359.0</v>
      </c>
      <c r="J188" s="11" t="s">
        <v>61</v>
      </c>
      <c r="K188" s="11" t="s">
        <v>62</v>
      </c>
      <c r="L188" s="18">
        <v>46287.780011574076</v>
      </c>
      <c r="M188" s="18">
        <v>46287.780023148145</v>
      </c>
      <c r="N188" s="11" t="s">
        <v>63</v>
      </c>
      <c r="O188" s="11">
        <v>0.0</v>
      </c>
      <c r="P188" s="11" t="s">
        <v>1633</v>
      </c>
      <c r="Q188" s="11" t="s">
        <v>1634</v>
      </c>
      <c r="R188" s="11"/>
      <c r="S188" s="11" t="s">
        <v>1635</v>
      </c>
      <c r="T188" s="11" t="s">
        <v>1636</v>
      </c>
      <c r="U188" s="11" t="s">
        <v>276</v>
      </c>
      <c r="V188" s="11" t="s">
        <v>68</v>
      </c>
      <c r="W188" s="11">
        <v>1429.0</v>
      </c>
      <c r="X188" s="11" t="s">
        <v>69</v>
      </c>
      <c r="Y188" s="11" t="s">
        <v>1637</v>
      </c>
      <c r="Z188" s="11">
        <v>5.491161649489E12</v>
      </c>
      <c r="AA188" s="11" t="s">
        <v>187</v>
      </c>
      <c r="AB188" s="11"/>
      <c r="AC188" s="11"/>
      <c r="AD188" s="11"/>
      <c r="AE188" s="11" t="s">
        <v>1638</v>
      </c>
      <c r="AF188" s="11" t="s">
        <v>1639</v>
      </c>
      <c r="AG188" s="18">
        <v>46287.905011574076</v>
      </c>
      <c r="AH188" s="18">
        <v>46287.905023148145</v>
      </c>
      <c r="AI188" s="11"/>
      <c r="AJ188" s="11"/>
      <c r="AK188" s="11">
        <v>18253.0</v>
      </c>
      <c r="AL188" s="21" t="s">
        <v>1423</v>
      </c>
      <c r="AM188" s="16"/>
      <c r="AN188" s="16"/>
      <c r="AO188" s="23" t="s">
        <v>1411</v>
      </c>
      <c r="AP188" s="16" t="s">
        <v>76</v>
      </c>
      <c r="AQ188" s="16">
        <v>4197.0</v>
      </c>
      <c r="AR188" s="16"/>
      <c r="AS188" s="11" t="s">
        <v>269</v>
      </c>
      <c r="AT188" s="11" t="s">
        <v>1640</v>
      </c>
      <c r="AU188" s="11" t="s">
        <v>1641</v>
      </c>
      <c r="AV188" s="11">
        <v>5.1511518E7</v>
      </c>
      <c r="AW188" s="11" t="s">
        <v>99</v>
      </c>
      <c r="AX188" s="11">
        <v>1.1561649489E10</v>
      </c>
      <c r="AY188" s="11" t="s">
        <v>1637</v>
      </c>
      <c r="AZ188" s="24">
        <v>40833.0</v>
      </c>
      <c r="BA188" s="11" t="s">
        <v>1642</v>
      </c>
      <c r="BB188" s="11" t="s">
        <v>349</v>
      </c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</row>
    <row r="189" ht="19.5" customHeight="1">
      <c r="A189" s="10" t="b">
        <v>0</v>
      </c>
      <c r="B189" s="11"/>
      <c r="C189" s="13" t="s">
        <v>60</v>
      </c>
      <c r="D189" s="14" t="s">
        <v>60</v>
      </c>
      <c r="E189" s="11"/>
      <c r="F189" s="15" t="s">
        <v>4</v>
      </c>
      <c r="G189" s="16">
        <v>3.0</v>
      </c>
      <c r="H189" s="16"/>
      <c r="I189" s="16">
        <v>46569.0</v>
      </c>
      <c r="J189" s="11" t="s">
        <v>61</v>
      </c>
      <c r="K189" s="11" t="s">
        <v>62</v>
      </c>
      <c r="L189" s="18">
        <v>46254.21685185185</v>
      </c>
      <c r="M189" s="18">
        <v>46254.216898148145</v>
      </c>
      <c r="N189" s="11" t="s">
        <v>63</v>
      </c>
      <c r="O189" s="11">
        <v>0.0</v>
      </c>
      <c r="P189" s="11" t="s">
        <v>1643</v>
      </c>
      <c r="Q189" s="11" t="s">
        <v>1644</v>
      </c>
      <c r="R189" s="11"/>
      <c r="S189" s="11" t="s">
        <v>1645</v>
      </c>
      <c r="T189" s="11" t="s">
        <v>1646</v>
      </c>
      <c r="U189" s="11" t="s">
        <v>158</v>
      </c>
      <c r="V189" s="11" t="s">
        <v>126</v>
      </c>
      <c r="W189" s="11">
        <v>1428.0</v>
      </c>
      <c r="X189" s="11" t="s">
        <v>69</v>
      </c>
      <c r="Y189" s="11" t="s">
        <v>1647</v>
      </c>
      <c r="Z189" s="11">
        <v>1.14050261E9</v>
      </c>
      <c r="AA189" s="11" t="s">
        <v>71</v>
      </c>
      <c r="AB189" s="11"/>
      <c r="AC189" s="11"/>
      <c r="AD189" s="18">
        <v>46254.216898148145</v>
      </c>
      <c r="AE189" s="11" t="s">
        <v>1648</v>
      </c>
      <c r="AF189" s="11" t="s">
        <v>1649</v>
      </c>
      <c r="AG189" s="18">
        <v>46254.34185185185</v>
      </c>
      <c r="AH189" s="18">
        <v>46254.341898148145</v>
      </c>
      <c r="AI189" s="11"/>
      <c r="AJ189" s="18">
        <v>46254.341898148145</v>
      </c>
      <c r="AK189" s="11">
        <v>18253.0</v>
      </c>
      <c r="AL189" s="21" t="s">
        <v>1423</v>
      </c>
      <c r="AM189" s="16"/>
      <c r="AN189" s="16"/>
      <c r="AO189" s="23"/>
      <c r="AP189" s="16" t="s">
        <v>76</v>
      </c>
      <c r="AQ189" s="16">
        <v>4211.0</v>
      </c>
      <c r="AR189" s="16"/>
      <c r="AS189" s="11" t="s">
        <v>1467</v>
      </c>
      <c r="AT189" s="11" t="s">
        <v>536</v>
      </c>
      <c r="AU189" s="11" t="s">
        <v>1650</v>
      </c>
      <c r="AV189" s="11">
        <v>5.2768073E7</v>
      </c>
      <c r="AW189" s="11" t="s">
        <v>99</v>
      </c>
      <c r="AX189" s="11">
        <v>1.151610316E9</v>
      </c>
      <c r="AY189" s="11" t="s">
        <v>1647</v>
      </c>
      <c r="AZ189" s="24">
        <v>41200.0</v>
      </c>
      <c r="BA189" s="11" t="s">
        <v>100</v>
      </c>
      <c r="BB189" s="11" t="s">
        <v>101</v>
      </c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</row>
    <row r="190" ht="19.5" customHeight="1">
      <c r="A190" s="10" t="b">
        <v>0</v>
      </c>
      <c r="B190" s="11"/>
      <c r="C190" s="13" t="s">
        <v>59</v>
      </c>
      <c r="D190" s="14" t="s">
        <v>60</v>
      </c>
      <c r="E190" s="11"/>
      <c r="F190" s="15" t="s">
        <v>4</v>
      </c>
      <c r="G190" s="16">
        <v>4.0</v>
      </c>
      <c r="H190" s="16"/>
      <c r="I190" s="16">
        <v>46570.0</v>
      </c>
      <c r="J190" s="11" t="s">
        <v>61</v>
      </c>
      <c r="K190" s="11" t="s">
        <v>62</v>
      </c>
      <c r="L190" s="18">
        <v>46254.48027777778</v>
      </c>
      <c r="M190" s="18">
        <v>46254.48033564815</v>
      </c>
      <c r="N190" s="11" t="s">
        <v>63</v>
      </c>
      <c r="O190" s="11">
        <v>0.0</v>
      </c>
      <c r="P190" s="11" t="s">
        <v>643</v>
      </c>
      <c r="Q190" s="11" t="s">
        <v>1651</v>
      </c>
      <c r="R190" s="11"/>
      <c r="S190" s="11" t="s">
        <v>1652</v>
      </c>
      <c r="T190" s="11">
        <v>402.0</v>
      </c>
      <c r="U190" s="11" t="s">
        <v>134</v>
      </c>
      <c r="V190" s="11" t="s">
        <v>784</v>
      </c>
      <c r="W190" s="11"/>
      <c r="X190" s="11" t="s">
        <v>169</v>
      </c>
      <c r="Y190" s="11" t="s">
        <v>1653</v>
      </c>
      <c r="Z190" s="11">
        <v>5.6995098875E10</v>
      </c>
      <c r="AA190" s="11" t="s">
        <v>71</v>
      </c>
      <c r="AB190" s="11"/>
      <c r="AC190" s="11"/>
      <c r="AD190" s="11"/>
      <c r="AE190" s="11" t="s">
        <v>1654</v>
      </c>
      <c r="AF190" s="11" t="s">
        <v>1655</v>
      </c>
      <c r="AG190" s="18">
        <v>46254.60527777778</v>
      </c>
      <c r="AH190" s="18">
        <v>46254.60533564815</v>
      </c>
      <c r="AI190" s="11"/>
      <c r="AJ190" s="11"/>
      <c r="AK190" s="11">
        <v>18253.0</v>
      </c>
      <c r="AL190" s="21" t="s">
        <v>1423</v>
      </c>
      <c r="AM190" s="16"/>
      <c r="AN190" s="14"/>
      <c r="AO190" s="23" t="s">
        <v>1656</v>
      </c>
      <c r="AP190" s="16" t="s">
        <v>175</v>
      </c>
      <c r="AQ190" s="16">
        <v>398.0</v>
      </c>
      <c r="AR190" s="16"/>
      <c r="AS190" s="11" t="s">
        <v>176</v>
      </c>
      <c r="AT190" s="11" t="s">
        <v>1656</v>
      </c>
      <c r="AU190" s="11" t="s">
        <v>1657</v>
      </c>
      <c r="AV190" s="11">
        <v>2.41791645E8</v>
      </c>
      <c r="AW190" s="11" t="s">
        <v>79</v>
      </c>
      <c r="AX190" s="11">
        <v>5.6995098875E10</v>
      </c>
      <c r="AY190" s="11" t="s">
        <v>1653</v>
      </c>
      <c r="AZ190" s="24">
        <v>41302.0</v>
      </c>
      <c r="BA190" s="11" t="s">
        <v>1615</v>
      </c>
      <c r="BB190" s="11" t="s">
        <v>81</v>
      </c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</row>
    <row r="191" ht="19.5" customHeight="1">
      <c r="A191" s="10" t="b">
        <v>0</v>
      </c>
      <c r="B191" s="11"/>
      <c r="C191" s="13" t="s">
        <v>60</v>
      </c>
      <c r="D191" s="14" t="s">
        <v>60</v>
      </c>
      <c r="E191" s="11"/>
      <c r="F191" s="15" t="s">
        <v>4</v>
      </c>
      <c r="G191" s="16">
        <v>7.0</v>
      </c>
      <c r="H191" s="16"/>
      <c r="I191" s="16">
        <v>46605.0</v>
      </c>
      <c r="J191" s="11" t="s">
        <v>61</v>
      </c>
      <c r="K191" s="11" t="s">
        <v>62</v>
      </c>
      <c r="L191" s="18">
        <v>46258.526192129626</v>
      </c>
      <c r="M191" s="18">
        <v>46258.526238425926</v>
      </c>
      <c r="N191" s="11" t="s">
        <v>63</v>
      </c>
      <c r="O191" s="11">
        <v>0.0</v>
      </c>
      <c r="P191" s="11" t="s">
        <v>261</v>
      </c>
      <c r="Q191" s="11" t="s">
        <v>1658</v>
      </c>
      <c r="R191" s="11"/>
      <c r="S191" s="11" t="s">
        <v>1659</v>
      </c>
      <c r="T191" s="11"/>
      <c r="U191" s="11" t="s">
        <v>1660</v>
      </c>
      <c r="V191" s="11" t="s">
        <v>68</v>
      </c>
      <c r="W191" s="11">
        <v>1704.0</v>
      </c>
      <c r="X191" s="11" t="s">
        <v>69</v>
      </c>
      <c r="Y191" s="11" t="s">
        <v>1661</v>
      </c>
      <c r="Z191" s="11">
        <v>5.491160235442E12</v>
      </c>
      <c r="AA191" s="11" t="s">
        <v>71</v>
      </c>
      <c r="AB191" s="11"/>
      <c r="AC191" s="11"/>
      <c r="AD191" s="11"/>
      <c r="AE191" s="11" t="s">
        <v>1662</v>
      </c>
      <c r="AF191" s="11" t="s">
        <v>1663</v>
      </c>
      <c r="AG191" s="18">
        <v>46258.651192129626</v>
      </c>
      <c r="AH191" s="18">
        <v>46258.651238425926</v>
      </c>
      <c r="AI191" s="11"/>
      <c r="AJ191" s="11"/>
      <c r="AK191" s="11">
        <v>18253.0</v>
      </c>
      <c r="AL191" s="21" t="s">
        <v>1423</v>
      </c>
      <c r="AM191" s="16"/>
      <c r="AN191" s="14" t="s">
        <v>39</v>
      </c>
      <c r="AO191" s="23"/>
      <c r="AP191" s="16" t="s">
        <v>76</v>
      </c>
      <c r="AQ191" s="16">
        <v>4356.0</v>
      </c>
      <c r="AR191" s="16"/>
      <c r="AS191" s="11" t="s">
        <v>668</v>
      </c>
      <c r="AT191" s="11" t="s">
        <v>346</v>
      </c>
      <c r="AU191" s="11" t="s">
        <v>1658</v>
      </c>
      <c r="AV191" s="11">
        <v>5.3956527E7</v>
      </c>
      <c r="AW191" s="11" t="s">
        <v>79</v>
      </c>
      <c r="AX191" s="11">
        <v>1.160235442E9</v>
      </c>
      <c r="AY191" s="11" t="s">
        <v>1661</v>
      </c>
      <c r="AZ191" s="24">
        <v>41774.0</v>
      </c>
      <c r="BA191" s="11" t="s">
        <v>100</v>
      </c>
      <c r="BB191" s="11" t="s">
        <v>101</v>
      </c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</row>
    <row r="192" ht="19.5" customHeight="1">
      <c r="A192" s="10" t="b">
        <v>0</v>
      </c>
      <c r="B192" s="11"/>
      <c r="C192" s="13" t="s">
        <v>60</v>
      </c>
      <c r="D192" s="14" t="s">
        <v>60</v>
      </c>
      <c r="E192" s="11"/>
      <c r="F192" s="15" t="s">
        <v>4</v>
      </c>
      <c r="G192" s="16">
        <v>12.0</v>
      </c>
      <c r="H192" s="16"/>
      <c r="I192" s="16">
        <v>46651.0</v>
      </c>
      <c r="J192" s="11" t="s">
        <v>61</v>
      </c>
      <c r="K192" s="11" t="s">
        <v>62</v>
      </c>
      <c r="L192" s="18">
        <v>46266.479409722226</v>
      </c>
      <c r="M192" s="18">
        <v>46266.479467592595</v>
      </c>
      <c r="N192" s="11" t="s">
        <v>63</v>
      </c>
      <c r="O192" s="11">
        <v>0.0</v>
      </c>
      <c r="P192" s="11" t="s">
        <v>1664</v>
      </c>
      <c r="Q192" s="11" t="s">
        <v>1665</v>
      </c>
      <c r="R192" s="11"/>
      <c r="S192" s="11" t="s">
        <v>1666</v>
      </c>
      <c r="T192" s="11">
        <v>4113.0</v>
      </c>
      <c r="U192" s="11" t="s">
        <v>1667</v>
      </c>
      <c r="V192" s="11" t="s">
        <v>126</v>
      </c>
      <c r="W192" s="11">
        <v>7600.0</v>
      </c>
      <c r="X192" s="11" t="s">
        <v>69</v>
      </c>
      <c r="Y192" s="11" t="s">
        <v>1668</v>
      </c>
      <c r="Z192" s="11">
        <v>5.42235509728E11</v>
      </c>
      <c r="AA192" s="11" t="s">
        <v>71</v>
      </c>
      <c r="AB192" s="11"/>
      <c r="AC192" s="11"/>
      <c r="AD192" s="11"/>
      <c r="AE192" s="11" t="s">
        <v>1669</v>
      </c>
      <c r="AF192" s="11" t="s">
        <v>1670</v>
      </c>
      <c r="AG192" s="18">
        <v>46266.604409722226</v>
      </c>
      <c r="AH192" s="18">
        <v>46266.604467592595</v>
      </c>
      <c r="AI192" s="11"/>
      <c r="AJ192" s="11"/>
      <c r="AK192" s="11">
        <v>18253.0</v>
      </c>
      <c r="AL192" s="21" t="s">
        <v>1423</v>
      </c>
      <c r="AM192" s="16"/>
      <c r="AN192" s="16"/>
      <c r="AO192" s="23" t="s">
        <v>1671</v>
      </c>
      <c r="AP192" s="16" t="s">
        <v>76</v>
      </c>
      <c r="AQ192" s="16">
        <v>4185.0</v>
      </c>
      <c r="AR192" s="16"/>
      <c r="AS192" s="10" t="s">
        <v>1672</v>
      </c>
      <c r="AT192" s="11" t="s">
        <v>1673</v>
      </c>
      <c r="AU192" s="11" t="s">
        <v>1674</v>
      </c>
      <c r="AV192" s="11">
        <v>5.3831603E7</v>
      </c>
      <c r="AW192" s="11" t="s">
        <v>99</v>
      </c>
      <c r="AX192" s="11">
        <v>2.235509728E9</v>
      </c>
      <c r="AY192" s="11" t="s">
        <v>1675</v>
      </c>
      <c r="AZ192" s="24">
        <v>41604.0</v>
      </c>
      <c r="BA192" s="11" t="s">
        <v>121</v>
      </c>
      <c r="BB192" s="11" t="s">
        <v>101</v>
      </c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</row>
    <row r="193" ht="19.5" customHeight="1">
      <c r="A193" s="10" t="b">
        <v>0</v>
      </c>
      <c r="B193" s="11"/>
      <c r="C193" s="13" t="s">
        <v>60</v>
      </c>
      <c r="D193" s="14" t="s">
        <v>60</v>
      </c>
      <c r="E193" s="11"/>
      <c r="F193" s="15" t="s">
        <v>4</v>
      </c>
      <c r="G193" s="16">
        <v>13.0</v>
      </c>
      <c r="H193" s="16"/>
      <c r="I193" s="16">
        <v>46652.0</v>
      </c>
      <c r="J193" s="11" t="s">
        <v>61</v>
      </c>
      <c r="K193" s="11" t="s">
        <v>62</v>
      </c>
      <c r="L193" s="18">
        <v>46266.48121527778</v>
      </c>
      <c r="M193" s="18">
        <v>46266.48125</v>
      </c>
      <c r="N193" s="11" t="s">
        <v>63</v>
      </c>
      <c r="O193" s="11">
        <v>0.0</v>
      </c>
      <c r="P193" s="11" t="s">
        <v>1664</v>
      </c>
      <c r="Q193" s="11" t="s">
        <v>1665</v>
      </c>
      <c r="R193" s="11"/>
      <c r="S193" s="11" t="s">
        <v>1666</v>
      </c>
      <c r="T193" s="11">
        <v>4113.0</v>
      </c>
      <c r="U193" s="11" t="s">
        <v>1667</v>
      </c>
      <c r="V193" s="11" t="s">
        <v>68</v>
      </c>
      <c r="W193" s="11">
        <v>7600.0</v>
      </c>
      <c r="X193" s="11" t="s">
        <v>69</v>
      </c>
      <c r="Y193" s="11" t="s">
        <v>1668</v>
      </c>
      <c r="Z193" s="11">
        <v>5.42235509728E11</v>
      </c>
      <c r="AA193" s="11" t="s">
        <v>71</v>
      </c>
      <c r="AB193" s="11"/>
      <c r="AC193" s="11"/>
      <c r="AD193" s="18">
        <v>46266.48125</v>
      </c>
      <c r="AE193" s="11" t="s">
        <v>1676</v>
      </c>
      <c r="AF193" s="11" t="s">
        <v>1677</v>
      </c>
      <c r="AG193" s="18">
        <v>46266.60621527778</v>
      </c>
      <c r="AH193" s="18">
        <v>46266.60625</v>
      </c>
      <c r="AI193" s="11"/>
      <c r="AJ193" s="18">
        <v>46266.60625</v>
      </c>
      <c r="AK193" s="11">
        <v>18253.0</v>
      </c>
      <c r="AL193" s="21" t="s">
        <v>1423</v>
      </c>
      <c r="AM193" s="16"/>
      <c r="AN193" s="16"/>
      <c r="AO193" s="23" t="s">
        <v>1671</v>
      </c>
      <c r="AP193" s="16" t="s">
        <v>76</v>
      </c>
      <c r="AQ193" s="16">
        <v>4101.0</v>
      </c>
      <c r="AR193" s="16"/>
      <c r="AS193" s="10" t="s">
        <v>1672</v>
      </c>
      <c r="AT193" s="11" t="s">
        <v>717</v>
      </c>
      <c r="AU193" s="11" t="s">
        <v>1674</v>
      </c>
      <c r="AV193" s="11">
        <v>5.1336821E7</v>
      </c>
      <c r="AW193" s="11" t="s">
        <v>99</v>
      </c>
      <c r="AX193" s="11">
        <v>2.235509728E9</v>
      </c>
      <c r="AY193" s="11" t="s">
        <v>1675</v>
      </c>
      <c r="AZ193" s="24">
        <v>40765.0</v>
      </c>
      <c r="BA193" s="11" t="s">
        <v>121</v>
      </c>
      <c r="BB193" s="11" t="s">
        <v>81</v>
      </c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</row>
    <row r="194" ht="19.5" customHeight="1">
      <c r="A194" s="10" t="b">
        <v>0</v>
      </c>
      <c r="B194" s="11"/>
      <c r="C194" s="13" t="s">
        <v>60</v>
      </c>
      <c r="D194" s="14" t="s">
        <v>60</v>
      </c>
      <c r="E194" s="11"/>
      <c r="F194" s="15" t="s">
        <v>4</v>
      </c>
      <c r="G194" s="16">
        <v>25.0</v>
      </c>
      <c r="H194" s="16"/>
      <c r="I194" s="16">
        <v>46674.0</v>
      </c>
      <c r="J194" s="11" t="s">
        <v>61</v>
      </c>
      <c r="K194" s="11" t="s">
        <v>62</v>
      </c>
      <c r="L194" s="18">
        <v>46268.80563657408</v>
      </c>
      <c r="M194" s="18">
        <v>46268.80568287037</v>
      </c>
      <c r="N194" s="11" t="s">
        <v>63</v>
      </c>
      <c r="O194" s="11">
        <v>0.0</v>
      </c>
      <c r="P194" s="11" t="s">
        <v>261</v>
      </c>
      <c r="Q194" s="11" t="s">
        <v>1678</v>
      </c>
      <c r="R194" s="11"/>
      <c r="S194" s="11" t="s">
        <v>1679</v>
      </c>
      <c r="T194" s="11"/>
      <c r="U194" s="11" t="s">
        <v>1680</v>
      </c>
      <c r="V194" s="11" t="s">
        <v>68</v>
      </c>
      <c r="W194" s="11">
        <v>1640.0</v>
      </c>
      <c r="X194" s="11" t="s">
        <v>69</v>
      </c>
      <c r="Y194" s="11" t="s">
        <v>1681</v>
      </c>
      <c r="Z194" s="11">
        <v>1.158200952E9</v>
      </c>
      <c r="AA194" s="11" t="s">
        <v>71</v>
      </c>
      <c r="AB194" s="11"/>
      <c r="AC194" s="11"/>
      <c r="AD194" s="18">
        <v>46268.80568287037</v>
      </c>
      <c r="AE194" s="11" t="s">
        <v>1682</v>
      </c>
      <c r="AF194" s="11" t="s">
        <v>1683</v>
      </c>
      <c r="AG194" s="18">
        <v>46268.93063657408</v>
      </c>
      <c r="AH194" s="18">
        <v>46268.93068287037</v>
      </c>
      <c r="AI194" s="11"/>
      <c r="AJ194" s="18">
        <v>46268.93068287037</v>
      </c>
      <c r="AK194" s="11">
        <v>18253.0</v>
      </c>
      <c r="AL194" s="21" t="s">
        <v>1423</v>
      </c>
      <c r="AM194" s="16"/>
      <c r="AN194" s="14" t="s">
        <v>39</v>
      </c>
      <c r="AO194" s="23"/>
      <c r="AP194" s="16" t="s">
        <v>76</v>
      </c>
      <c r="AQ194" s="16">
        <v>4245.0</v>
      </c>
      <c r="AR194" s="16"/>
      <c r="AS194" s="10" t="s">
        <v>1684</v>
      </c>
      <c r="AT194" s="11" t="s">
        <v>1685</v>
      </c>
      <c r="AU194" s="11" t="s">
        <v>1678</v>
      </c>
      <c r="AV194" s="11">
        <v>5.2672616E7</v>
      </c>
      <c r="AW194" s="11" t="s">
        <v>79</v>
      </c>
      <c r="AX194" s="11">
        <v>1.158200952E9</v>
      </c>
      <c r="AY194" s="11" t="s">
        <v>1681</v>
      </c>
      <c r="AZ194" s="24">
        <v>41142.0</v>
      </c>
      <c r="BA194" s="11" t="s">
        <v>1686</v>
      </c>
      <c r="BB194" s="11" t="s">
        <v>101</v>
      </c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</row>
    <row r="195" ht="19.5" customHeight="1">
      <c r="A195" s="10" t="b">
        <v>1</v>
      </c>
      <c r="B195" s="42" t="s">
        <v>1687</v>
      </c>
      <c r="C195" s="13" t="s">
        <v>60</v>
      </c>
      <c r="D195" s="14" t="s">
        <v>60</v>
      </c>
      <c r="E195" s="11"/>
      <c r="F195" s="15" t="s">
        <v>4</v>
      </c>
      <c r="G195" s="16">
        <v>32.0</v>
      </c>
      <c r="H195" s="16"/>
      <c r="I195" s="16">
        <v>46689.0</v>
      </c>
      <c r="J195" s="11" t="s">
        <v>61</v>
      </c>
      <c r="K195" s="11" t="s">
        <v>62</v>
      </c>
      <c r="L195" s="18">
        <v>46271.9596875</v>
      </c>
      <c r="M195" s="18">
        <v>46271.95976851852</v>
      </c>
      <c r="N195" s="11" t="s">
        <v>63</v>
      </c>
      <c r="O195" s="11">
        <v>0.0</v>
      </c>
      <c r="P195" s="11" t="s">
        <v>1688</v>
      </c>
      <c r="Q195" s="11" t="s">
        <v>1689</v>
      </c>
      <c r="R195" s="11"/>
      <c r="S195" s="11" t="s">
        <v>1690</v>
      </c>
      <c r="T195" s="11"/>
      <c r="U195" s="11" t="s">
        <v>1691</v>
      </c>
      <c r="V195" s="11" t="s">
        <v>1692</v>
      </c>
      <c r="W195" s="11">
        <v>15023.0</v>
      </c>
      <c r="X195" s="11" t="s">
        <v>1693</v>
      </c>
      <c r="Y195" s="11" t="s">
        <v>1694</v>
      </c>
      <c r="Z195" s="11">
        <v>5.1958902878E10</v>
      </c>
      <c r="AA195" s="11" t="s">
        <v>71</v>
      </c>
      <c r="AB195" s="11"/>
      <c r="AC195" s="11"/>
      <c r="AD195" s="11"/>
      <c r="AE195" s="11" t="s">
        <v>1695</v>
      </c>
      <c r="AF195" s="11" t="s">
        <v>1696</v>
      </c>
      <c r="AG195" s="18">
        <v>46272.0846875</v>
      </c>
      <c r="AH195" s="18">
        <v>46272.08476851852</v>
      </c>
      <c r="AI195" s="11"/>
      <c r="AJ195" s="11"/>
      <c r="AK195" s="11">
        <v>18253.0</v>
      </c>
      <c r="AL195" s="21" t="s">
        <v>1423</v>
      </c>
      <c r="AM195" s="16"/>
      <c r="AN195" s="16"/>
      <c r="AO195" s="23"/>
      <c r="AP195" s="45" t="s">
        <v>1697</v>
      </c>
      <c r="AQ195" s="16">
        <v>378.0</v>
      </c>
      <c r="AR195" s="16"/>
      <c r="AS195" s="42" t="s">
        <v>1698</v>
      </c>
      <c r="AT195" s="11" t="s">
        <v>1688</v>
      </c>
      <c r="AU195" s="11" t="s">
        <v>1689</v>
      </c>
      <c r="AV195" s="11">
        <v>7.8671985E7</v>
      </c>
      <c r="AW195" s="11" t="s">
        <v>99</v>
      </c>
      <c r="AX195" s="11">
        <v>5.1958902878E10</v>
      </c>
      <c r="AY195" s="11" t="s">
        <v>1694</v>
      </c>
      <c r="AZ195" s="24">
        <v>41834.0</v>
      </c>
      <c r="BA195" s="11" t="s">
        <v>1699</v>
      </c>
      <c r="BB195" s="11" t="s">
        <v>81</v>
      </c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</row>
    <row r="196" ht="19.5" customHeight="1">
      <c r="A196" s="10" t="b">
        <v>1</v>
      </c>
      <c r="B196" s="42" t="s">
        <v>1687</v>
      </c>
      <c r="C196" s="13" t="s">
        <v>60</v>
      </c>
      <c r="D196" s="14" t="s">
        <v>60</v>
      </c>
      <c r="E196" s="11"/>
      <c r="F196" s="15" t="s">
        <v>4</v>
      </c>
      <c r="G196" s="16">
        <v>33.0</v>
      </c>
      <c r="H196" s="16"/>
      <c r="I196" s="16">
        <v>46690.0</v>
      </c>
      <c r="J196" s="11" t="s">
        <v>61</v>
      </c>
      <c r="K196" s="11" t="s">
        <v>62</v>
      </c>
      <c r="L196" s="18">
        <v>46271.970405092594</v>
      </c>
      <c r="M196" s="18">
        <v>46271.97045138889</v>
      </c>
      <c r="N196" s="11" t="s">
        <v>63</v>
      </c>
      <c r="O196" s="11">
        <v>0.0</v>
      </c>
      <c r="P196" s="11" t="s">
        <v>1700</v>
      </c>
      <c r="Q196" s="11" t="s">
        <v>1701</v>
      </c>
      <c r="R196" s="11"/>
      <c r="S196" s="11" t="s">
        <v>1702</v>
      </c>
      <c r="T196" s="11"/>
      <c r="U196" s="11" t="s">
        <v>1703</v>
      </c>
      <c r="V196" s="11" t="s">
        <v>1704</v>
      </c>
      <c r="W196" s="11">
        <v>94952.0</v>
      </c>
      <c r="X196" s="11" t="s">
        <v>1705</v>
      </c>
      <c r="Y196" s="11" t="s">
        <v>1706</v>
      </c>
      <c r="Z196" s="11">
        <v>5.1967901885E10</v>
      </c>
      <c r="AA196" s="11" t="s">
        <v>71</v>
      </c>
      <c r="AB196" s="11"/>
      <c r="AC196" s="11"/>
      <c r="AD196" s="18">
        <v>46271.97045138889</v>
      </c>
      <c r="AE196" s="11" t="s">
        <v>1707</v>
      </c>
      <c r="AF196" s="11" t="s">
        <v>1708</v>
      </c>
      <c r="AG196" s="18">
        <v>46272.095405092594</v>
      </c>
      <c r="AH196" s="18">
        <v>46272.09545138889</v>
      </c>
      <c r="AI196" s="11"/>
      <c r="AJ196" s="18">
        <v>46272.09545138889</v>
      </c>
      <c r="AK196" s="11">
        <v>18253.0</v>
      </c>
      <c r="AL196" s="21" t="s">
        <v>1423</v>
      </c>
      <c r="AM196" s="16"/>
      <c r="AN196" s="14" t="s">
        <v>39</v>
      </c>
      <c r="AO196" s="23"/>
      <c r="AP196" s="16" t="s">
        <v>1697</v>
      </c>
      <c r="AQ196" s="16">
        <v>365.0</v>
      </c>
      <c r="AR196" s="16"/>
      <c r="AS196" s="42" t="s">
        <v>1709</v>
      </c>
      <c r="AT196" s="11" t="s">
        <v>929</v>
      </c>
      <c r="AU196" s="11" t="s">
        <v>1701</v>
      </c>
      <c r="AV196" s="11">
        <v>8.186753E7</v>
      </c>
      <c r="AW196" s="11" t="s">
        <v>79</v>
      </c>
      <c r="AX196" s="11">
        <v>5.1967901885E10</v>
      </c>
      <c r="AY196" s="11" t="s">
        <v>1706</v>
      </c>
      <c r="AZ196" s="24">
        <v>41442.0</v>
      </c>
      <c r="BA196" s="11" t="s">
        <v>1710</v>
      </c>
      <c r="BB196" s="11" t="s">
        <v>81</v>
      </c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</row>
    <row r="197" ht="19.5" customHeight="1">
      <c r="A197" s="10" t="b">
        <v>0</v>
      </c>
      <c r="B197" s="11"/>
      <c r="C197" s="13" t="s">
        <v>59</v>
      </c>
      <c r="D197" s="14" t="s">
        <v>60</v>
      </c>
      <c r="E197" s="11"/>
      <c r="F197" s="15" t="s">
        <v>4</v>
      </c>
      <c r="G197" s="16">
        <v>38.0</v>
      </c>
      <c r="H197" s="16"/>
      <c r="I197" s="16">
        <v>46699.0</v>
      </c>
      <c r="J197" s="11" t="s">
        <v>61</v>
      </c>
      <c r="K197" s="11" t="s">
        <v>62</v>
      </c>
      <c r="L197" s="18">
        <v>46273.61282407407</v>
      </c>
      <c r="M197" s="18">
        <v>46273.61288194444</v>
      </c>
      <c r="N197" s="11" t="s">
        <v>63</v>
      </c>
      <c r="O197" s="11">
        <v>0.0</v>
      </c>
      <c r="P197" s="11" t="s">
        <v>1711</v>
      </c>
      <c r="Q197" s="11" t="s">
        <v>1712</v>
      </c>
      <c r="R197" s="11"/>
      <c r="S197" s="11" t="s">
        <v>1713</v>
      </c>
      <c r="T197" s="11">
        <v>388.0</v>
      </c>
      <c r="U197" s="11" t="s">
        <v>643</v>
      </c>
      <c r="V197" s="11" t="s">
        <v>101</v>
      </c>
      <c r="W197" s="11">
        <v>2000.0</v>
      </c>
      <c r="X197" s="11" t="s">
        <v>69</v>
      </c>
      <c r="Y197" s="11" t="s">
        <v>1714</v>
      </c>
      <c r="Z197" s="11">
        <v>3.416298695E9</v>
      </c>
      <c r="AA197" s="11" t="s">
        <v>71</v>
      </c>
      <c r="AB197" s="11"/>
      <c r="AC197" s="11"/>
      <c r="AD197" s="11"/>
      <c r="AE197" s="11" t="s">
        <v>1715</v>
      </c>
      <c r="AF197" s="11" t="s">
        <v>1716</v>
      </c>
      <c r="AG197" s="18">
        <v>46273.73782407407</v>
      </c>
      <c r="AH197" s="18">
        <v>46273.73788194444</v>
      </c>
      <c r="AI197" s="11"/>
      <c r="AJ197" s="11"/>
      <c r="AK197" s="11">
        <v>18253.0</v>
      </c>
      <c r="AL197" s="21" t="s">
        <v>1423</v>
      </c>
      <c r="AM197" s="16"/>
      <c r="AN197" s="16"/>
      <c r="AO197" s="23" t="s">
        <v>1717</v>
      </c>
      <c r="AP197" s="16" t="s">
        <v>76</v>
      </c>
      <c r="AQ197" s="16">
        <v>4218.0</v>
      </c>
      <c r="AR197" s="16"/>
      <c r="AS197" s="11" t="s">
        <v>1718</v>
      </c>
      <c r="AT197" s="11" t="s">
        <v>120</v>
      </c>
      <c r="AU197" s="11" t="s">
        <v>1719</v>
      </c>
      <c r="AV197" s="11">
        <v>5.208539E7</v>
      </c>
      <c r="AW197" s="11" t="s">
        <v>99</v>
      </c>
      <c r="AX197" s="11">
        <v>3.416298695E9</v>
      </c>
      <c r="AY197" s="11" t="s">
        <v>1720</v>
      </c>
      <c r="AZ197" s="24">
        <v>41253.0</v>
      </c>
      <c r="BA197" s="11" t="s">
        <v>1721</v>
      </c>
      <c r="BB197" s="11" t="s">
        <v>81</v>
      </c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</row>
    <row r="198" ht="19.5" customHeight="1">
      <c r="A198" s="10" t="b">
        <v>0</v>
      </c>
      <c r="B198" s="11"/>
      <c r="C198" s="13" t="s">
        <v>59</v>
      </c>
      <c r="D198" s="14" t="s">
        <v>60</v>
      </c>
      <c r="E198" s="11"/>
      <c r="F198" s="15" t="s">
        <v>4</v>
      </c>
      <c r="G198" s="16">
        <v>44.0</v>
      </c>
      <c r="H198" s="16"/>
      <c r="I198" s="16">
        <v>46721.0</v>
      </c>
      <c r="J198" s="11" t="s">
        <v>61</v>
      </c>
      <c r="K198" s="11" t="s">
        <v>62</v>
      </c>
      <c r="L198" s="18">
        <v>46274.59486111111</v>
      </c>
      <c r="M198" s="18">
        <v>46274.59490740741</v>
      </c>
      <c r="N198" s="11" t="s">
        <v>63</v>
      </c>
      <c r="O198" s="11">
        <v>0.0</v>
      </c>
      <c r="P198" s="11" t="s">
        <v>1605</v>
      </c>
      <c r="Q198" s="11" t="s">
        <v>1634</v>
      </c>
      <c r="R198" s="11"/>
      <c r="S198" s="11" t="s">
        <v>1722</v>
      </c>
      <c r="T198" s="11"/>
      <c r="U198" s="11" t="s">
        <v>362</v>
      </c>
      <c r="V198" s="11" t="s">
        <v>68</v>
      </c>
      <c r="W198" s="11">
        <v>1429.0</v>
      </c>
      <c r="X198" s="11" t="s">
        <v>69</v>
      </c>
      <c r="Y198" s="11" t="s">
        <v>1723</v>
      </c>
      <c r="Z198" s="11">
        <v>5.41132341376E11</v>
      </c>
      <c r="AA198" s="11" t="s">
        <v>71</v>
      </c>
      <c r="AB198" s="11"/>
      <c r="AC198" s="11"/>
      <c r="AD198" s="18">
        <v>46274.59490740741</v>
      </c>
      <c r="AE198" s="11" t="s">
        <v>1724</v>
      </c>
      <c r="AF198" s="11" t="s">
        <v>1725</v>
      </c>
      <c r="AG198" s="18">
        <v>46274.71986111111</v>
      </c>
      <c r="AH198" s="18">
        <v>46274.71990740741</v>
      </c>
      <c r="AI198" s="11"/>
      <c r="AJ198" s="18">
        <v>46274.71990740741</v>
      </c>
      <c r="AK198" s="11">
        <v>18253.0</v>
      </c>
      <c r="AL198" s="21" t="s">
        <v>1423</v>
      </c>
      <c r="AM198" s="16"/>
      <c r="AN198" s="16"/>
      <c r="AO198" s="23"/>
      <c r="AP198" s="16" t="s">
        <v>76</v>
      </c>
      <c r="AQ198" s="16">
        <v>4359.0</v>
      </c>
      <c r="AR198" s="16"/>
      <c r="AS198" s="11" t="s">
        <v>269</v>
      </c>
      <c r="AT198" s="11" t="s">
        <v>134</v>
      </c>
      <c r="AU198" s="11" t="s">
        <v>1634</v>
      </c>
      <c r="AV198" s="11">
        <v>5.3236907E7</v>
      </c>
      <c r="AW198" s="11" t="s">
        <v>99</v>
      </c>
      <c r="AX198" s="11">
        <v>1.132341376E9</v>
      </c>
      <c r="AY198" s="11" t="s">
        <v>1726</v>
      </c>
      <c r="AZ198" s="24">
        <v>41375.0</v>
      </c>
      <c r="BA198" s="11" t="s">
        <v>1727</v>
      </c>
      <c r="BB198" s="11" t="s">
        <v>349</v>
      </c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</row>
    <row r="199" ht="19.5" customHeight="1">
      <c r="A199" s="10" t="b">
        <v>0</v>
      </c>
      <c r="B199" s="11"/>
      <c r="C199" s="13" t="s">
        <v>59</v>
      </c>
      <c r="D199" s="14" t="s">
        <v>60</v>
      </c>
      <c r="E199" s="11"/>
      <c r="F199" s="15" t="s">
        <v>4</v>
      </c>
      <c r="G199" s="16">
        <v>47.0</v>
      </c>
      <c r="H199" s="16"/>
      <c r="I199" s="16">
        <v>46730.0</v>
      </c>
      <c r="J199" s="11" t="s">
        <v>61</v>
      </c>
      <c r="K199" s="11" t="s">
        <v>62</v>
      </c>
      <c r="L199" s="18">
        <v>46275.50724537037</v>
      </c>
      <c r="M199" s="18">
        <v>46275.507361111115</v>
      </c>
      <c r="N199" s="11" t="s">
        <v>63</v>
      </c>
      <c r="O199" s="11">
        <v>0.0</v>
      </c>
      <c r="P199" s="11" t="s">
        <v>1728</v>
      </c>
      <c r="Q199" s="11" t="s">
        <v>1729</v>
      </c>
      <c r="R199" s="11"/>
      <c r="S199" s="11" t="s">
        <v>1730</v>
      </c>
      <c r="T199" s="11"/>
      <c r="U199" s="11" t="s">
        <v>1731</v>
      </c>
      <c r="V199" s="11" t="s">
        <v>68</v>
      </c>
      <c r="W199" s="11">
        <v>1643.0</v>
      </c>
      <c r="X199" s="11" t="s">
        <v>69</v>
      </c>
      <c r="Y199" s="11" t="s">
        <v>1732</v>
      </c>
      <c r="Z199" s="11">
        <v>1.134037248E9</v>
      </c>
      <c r="AA199" s="11" t="s">
        <v>71</v>
      </c>
      <c r="AB199" s="11"/>
      <c r="AC199" s="11"/>
      <c r="AD199" s="11"/>
      <c r="AE199" s="11" t="s">
        <v>1733</v>
      </c>
      <c r="AF199" s="11" t="s">
        <v>1734</v>
      </c>
      <c r="AG199" s="18">
        <v>46275.63224537037</v>
      </c>
      <c r="AH199" s="18">
        <v>46275.632361111115</v>
      </c>
      <c r="AI199" s="11"/>
      <c r="AJ199" s="11"/>
      <c r="AK199" s="11">
        <v>18253.0</v>
      </c>
      <c r="AL199" s="21" t="s">
        <v>1423</v>
      </c>
      <c r="AM199" s="16"/>
      <c r="AN199" s="14" t="s">
        <v>39</v>
      </c>
      <c r="AO199" s="23"/>
      <c r="AP199" s="16" t="s">
        <v>76</v>
      </c>
      <c r="AQ199" s="16">
        <v>4096.0</v>
      </c>
      <c r="AR199" s="16"/>
      <c r="AS199" s="11" t="s">
        <v>251</v>
      </c>
      <c r="AT199" s="11" t="s">
        <v>1735</v>
      </c>
      <c r="AU199" s="11" t="s">
        <v>1736</v>
      </c>
      <c r="AV199" s="11">
        <v>5.1397535E7</v>
      </c>
      <c r="AW199" s="11" t="s">
        <v>79</v>
      </c>
      <c r="AX199" s="11">
        <v>1.534037248E9</v>
      </c>
      <c r="AY199" s="11" t="s">
        <v>1732</v>
      </c>
      <c r="AZ199" s="24">
        <v>40806.0</v>
      </c>
      <c r="BA199" s="11" t="s">
        <v>100</v>
      </c>
      <c r="BB199" s="11" t="s">
        <v>349</v>
      </c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</row>
    <row r="200" ht="19.5" customHeight="1">
      <c r="A200" s="10" t="b">
        <v>0</v>
      </c>
      <c r="B200" s="11"/>
      <c r="C200" s="13" t="s">
        <v>60</v>
      </c>
      <c r="D200" s="14" t="s">
        <v>60</v>
      </c>
      <c r="E200" s="11"/>
      <c r="F200" s="15" t="s">
        <v>4</v>
      </c>
      <c r="G200" s="16">
        <v>54.0</v>
      </c>
      <c r="H200" s="16"/>
      <c r="I200" s="16">
        <v>46752.0</v>
      </c>
      <c r="J200" s="11" t="s">
        <v>61</v>
      </c>
      <c r="K200" s="11" t="s">
        <v>62</v>
      </c>
      <c r="L200" s="18">
        <v>46276.78921296296</v>
      </c>
      <c r="M200" s="18">
        <v>46276.78927083333</v>
      </c>
      <c r="N200" s="11" t="s">
        <v>63</v>
      </c>
      <c r="O200" s="11">
        <v>0.0</v>
      </c>
      <c r="P200" s="11" t="s">
        <v>1737</v>
      </c>
      <c r="Q200" s="11" t="s">
        <v>1738</v>
      </c>
      <c r="R200" s="11"/>
      <c r="S200" s="11" t="s">
        <v>1739</v>
      </c>
      <c r="T200" s="11">
        <v>775.0</v>
      </c>
      <c r="U200" s="11" t="s">
        <v>1284</v>
      </c>
      <c r="V200" s="11" t="s">
        <v>68</v>
      </c>
      <c r="W200" s="11">
        <v>2930.0</v>
      </c>
      <c r="X200" s="11" t="s">
        <v>69</v>
      </c>
      <c r="Y200" s="11" t="s">
        <v>1740</v>
      </c>
      <c r="Z200" s="11">
        <v>3.329640146E9</v>
      </c>
      <c r="AA200" s="11" t="s">
        <v>71</v>
      </c>
      <c r="AB200" s="11"/>
      <c r="AC200" s="11"/>
      <c r="AD200" s="18">
        <v>46276.78927083333</v>
      </c>
      <c r="AE200" s="11" t="s">
        <v>1741</v>
      </c>
      <c r="AF200" s="11" t="s">
        <v>1742</v>
      </c>
      <c r="AG200" s="18">
        <v>46276.91421296296</v>
      </c>
      <c r="AH200" s="18">
        <v>46276.91427083333</v>
      </c>
      <c r="AI200" s="11"/>
      <c r="AJ200" s="18">
        <v>46276.91427083333</v>
      </c>
      <c r="AK200" s="11">
        <v>18253.0</v>
      </c>
      <c r="AL200" s="21" t="s">
        <v>1423</v>
      </c>
      <c r="AM200" s="16"/>
      <c r="AN200" s="16"/>
      <c r="AO200" s="23">
        <v>4351.0</v>
      </c>
      <c r="AP200" s="16" t="s">
        <v>76</v>
      </c>
      <c r="AQ200" s="16">
        <v>4351.0</v>
      </c>
      <c r="AR200" s="16"/>
      <c r="AS200" s="11" t="s">
        <v>218</v>
      </c>
      <c r="AT200" s="11" t="s">
        <v>638</v>
      </c>
      <c r="AU200" s="11" t="s">
        <v>1743</v>
      </c>
      <c r="AV200" s="11">
        <v>5.2003396E7</v>
      </c>
      <c r="AW200" s="11" t="s">
        <v>99</v>
      </c>
      <c r="AX200" s="11">
        <v>3.329640146E9</v>
      </c>
      <c r="AY200" s="11" t="s">
        <v>1740</v>
      </c>
      <c r="AZ200" s="24">
        <v>40952.0</v>
      </c>
      <c r="BA200" s="11" t="s">
        <v>699</v>
      </c>
      <c r="BB200" s="11" t="s">
        <v>349</v>
      </c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</row>
    <row r="201" ht="19.5" customHeight="1">
      <c r="A201" s="10" t="b">
        <v>0</v>
      </c>
      <c r="B201" s="11"/>
      <c r="C201" s="13" t="s">
        <v>59</v>
      </c>
      <c r="D201" s="14" t="s">
        <v>60</v>
      </c>
      <c r="E201" s="11"/>
      <c r="F201" s="15" t="s">
        <v>4</v>
      </c>
      <c r="G201" s="16">
        <v>55.0</v>
      </c>
      <c r="H201" s="16"/>
      <c r="I201" s="16">
        <v>46753.0</v>
      </c>
      <c r="J201" s="11" t="s">
        <v>61</v>
      </c>
      <c r="K201" s="11" t="s">
        <v>62</v>
      </c>
      <c r="L201" s="18">
        <v>46277.47321759259</v>
      </c>
      <c r="M201" s="18">
        <v>46277.47329861111</v>
      </c>
      <c r="N201" s="11" t="s">
        <v>63</v>
      </c>
      <c r="O201" s="11">
        <v>0.0</v>
      </c>
      <c r="P201" s="11" t="s">
        <v>1744</v>
      </c>
      <c r="Q201" s="11" t="s">
        <v>1745</v>
      </c>
      <c r="R201" s="11"/>
      <c r="S201" s="11" t="s">
        <v>1746</v>
      </c>
      <c r="T201" s="11" t="s">
        <v>1747</v>
      </c>
      <c r="U201" s="11" t="s">
        <v>1748</v>
      </c>
      <c r="V201" s="11" t="s">
        <v>68</v>
      </c>
      <c r="W201" s="11">
        <v>2900.0</v>
      </c>
      <c r="X201" s="11" t="s">
        <v>69</v>
      </c>
      <c r="Y201" s="11" t="s">
        <v>1749</v>
      </c>
      <c r="Z201" s="11">
        <v>5.43364580195E11</v>
      </c>
      <c r="AA201" s="11" t="s">
        <v>71</v>
      </c>
      <c r="AB201" s="11"/>
      <c r="AC201" s="11"/>
      <c r="AD201" s="18">
        <v>46277.47329861111</v>
      </c>
      <c r="AE201" s="11" t="s">
        <v>1750</v>
      </c>
      <c r="AF201" s="11" t="s">
        <v>1751</v>
      </c>
      <c r="AG201" s="18">
        <v>46277.59821759259</v>
      </c>
      <c r="AH201" s="18">
        <v>46277.59829861111</v>
      </c>
      <c r="AI201" s="11"/>
      <c r="AJ201" s="18">
        <v>46277.59829861111</v>
      </c>
      <c r="AK201" s="11">
        <v>18253.0</v>
      </c>
      <c r="AL201" s="21" t="s">
        <v>1423</v>
      </c>
      <c r="AM201" s="16"/>
      <c r="AN201" s="16"/>
      <c r="AO201" s="23" t="s">
        <v>1752</v>
      </c>
      <c r="AP201" s="16" t="s">
        <v>76</v>
      </c>
      <c r="AQ201" s="16">
        <v>3793.0</v>
      </c>
      <c r="AR201" s="16"/>
      <c r="AS201" s="11" t="s">
        <v>1753</v>
      </c>
      <c r="AT201" s="11" t="s">
        <v>1754</v>
      </c>
      <c r="AU201" s="11" t="s">
        <v>1755</v>
      </c>
      <c r="AV201" s="11">
        <v>5.2118147E7</v>
      </c>
      <c r="AW201" s="11" t="s">
        <v>99</v>
      </c>
      <c r="AX201" s="11">
        <v>3.364580195E9</v>
      </c>
      <c r="AY201" s="11" t="s">
        <v>1749</v>
      </c>
      <c r="AZ201" s="24">
        <v>40986.0</v>
      </c>
      <c r="BA201" s="11" t="s">
        <v>436</v>
      </c>
      <c r="BB201" s="11" t="s">
        <v>101</v>
      </c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</row>
    <row r="202" ht="19.5" customHeight="1">
      <c r="A202" s="10" t="b">
        <v>0</v>
      </c>
      <c r="B202" s="11"/>
      <c r="C202" s="13" t="s">
        <v>60</v>
      </c>
      <c r="D202" s="14" t="s">
        <v>60</v>
      </c>
      <c r="E202" s="11"/>
      <c r="F202" s="15" t="s">
        <v>4</v>
      </c>
      <c r="G202" s="16">
        <v>60.0</v>
      </c>
      <c r="H202" s="16"/>
      <c r="I202" s="16">
        <v>46763.0</v>
      </c>
      <c r="J202" s="11" t="s">
        <v>302</v>
      </c>
      <c r="K202" s="11" t="s">
        <v>62</v>
      </c>
      <c r="L202" s="18">
        <v>46278.542037037034</v>
      </c>
      <c r="M202" s="18">
        <v>46278.54211805556</v>
      </c>
      <c r="N202" s="11" t="s">
        <v>63</v>
      </c>
      <c r="O202" s="11">
        <v>0.0</v>
      </c>
      <c r="P202" s="11" t="s">
        <v>1756</v>
      </c>
      <c r="Q202" s="11" t="s">
        <v>1757</v>
      </c>
      <c r="R202" s="11"/>
      <c r="S202" s="11" t="s">
        <v>1758</v>
      </c>
      <c r="T202" s="11"/>
      <c r="U202" s="11" t="s">
        <v>1759</v>
      </c>
      <c r="V202" s="11" t="s">
        <v>68</v>
      </c>
      <c r="W202" s="11">
        <v>1707.0</v>
      </c>
      <c r="X202" s="11" t="s">
        <v>69</v>
      </c>
      <c r="Y202" s="11" t="s">
        <v>1760</v>
      </c>
      <c r="Z202" s="11">
        <v>1.121561015E9</v>
      </c>
      <c r="AA202" s="11" t="s">
        <v>71</v>
      </c>
      <c r="AB202" s="11"/>
      <c r="AC202" s="11"/>
      <c r="AD202" s="11"/>
      <c r="AE202" s="11" t="s">
        <v>1761</v>
      </c>
      <c r="AF202" s="11" t="s">
        <v>1762</v>
      </c>
      <c r="AG202" s="18">
        <v>46278.667037037034</v>
      </c>
      <c r="AH202" s="18">
        <v>46278.66711805556</v>
      </c>
      <c r="AI202" s="11"/>
      <c r="AJ202" s="11"/>
      <c r="AK202" s="11">
        <v>18253.0</v>
      </c>
      <c r="AL202" s="21" t="s">
        <v>1423</v>
      </c>
      <c r="AM202" s="16"/>
      <c r="AN202" s="16"/>
      <c r="AO202" s="23"/>
      <c r="AP202" s="16" t="s">
        <v>76</v>
      </c>
      <c r="AQ202" s="16">
        <v>4364.0</v>
      </c>
      <c r="AR202" s="16"/>
      <c r="AS202" s="11" t="s">
        <v>1068</v>
      </c>
      <c r="AT202" s="11" t="s">
        <v>1763</v>
      </c>
      <c r="AU202" s="11" t="s">
        <v>1764</v>
      </c>
      <c r="AV202" s="11">
        <v>5.2960771E7</v>
      </c>
      <c r="AW202" s="11" t="s">
        <v>99</v>
      </c>
      <c r="AX202" s="11">
        <v>1.121561015E9</v>
      </c>
      <c r="AY202" s="11" t="s">
        <v>1760</v>
      </c>
      <c r="AZ202" s="24">
        <v>41301.0</v>
      </c>
      <c r="BA202" s="11" t="s">
        <v>1765</v>
      </c>
      <c r="BB202" s="11" t="s">
        <v>349</v>
      </c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</row>
    <row r="203" ht="19.5" customHeight="1">
      <c r="A203" s="10" t="b">
        <v>0</v>
      </c>
      <c r="B203" s="11"/>
      <c r="C203" s="13" t="s">
        <v>60</v>
      </c>
      <c r="D203" s="14" t="s">
        <v>60</v>
      </c>
      <c r="E203" s="11"/>
      <c r="F203" s="15" t="s">
        <v>4</v>
      </c>
      <c r="G203" s="16">
        <v>63.0</v>
      </c>
      <c r="H203" s="16"/>
      <c r="I203" s="16">
        <v>46766.0</v>
      </c>
      <c r="J203" s="11" t="s">
        <v>61</v>
      </c>
      <c r="K203" s="11" t="s">
        <v>62</v>
      </c>
      <c r="L203" s="18">
        <v>46278.81384259259</v>
      </c>
      <c r="M203" s="18">
        <v>46278.813888888886</v>
      </c>
      <c r="N203" s="11" t="s">
        <v>63</v>
      </c>
      <c r="O203" s="11">
        <v>0.0</v>
      </c>
      <c r="P203" s="11" t="s">
        <v>145</v>
      </c>
      <c r="Q203" s="11" t="s">
        <v>1766</v>
      </c>
      <c r="R203" s="11"/>
      <c r="S203" s="11" t="s">
        <v>1767</v>
      </c>
      <c r="T203" s="11"/>
      <c r="U203" s="11" t="s">
        <v>137</v>
      </c>
      <c r="V203" s="11" t="s">
        <v>68</v>
      </c>
      <c r="W203" s="11">
        <v>1643.0</v>
      </c>
      <c r="X203" s="11" t="s">
        <v>69</v>
      </c>
      <c r="Y203" s="11" t="s">
        <v>1768</v>
      </c>
      <c r="Z203" s="11">
        <v>1.15799637E9</v>
      </c>
      <c r="AA203" s="11" t="s">
        <v>71</v>
      </c>
      <c r="AB203" s="11"/>
      <c r="AC203" s="11"/>
      <c r="AD203" s="18">
        <v>46278.813888888886</v>
      </c>
      <c r="AE203" s="11" t="s">
        <v>1769</v>
      </c>
      <c r="AF203" s="11" t="s">
        <v>1770</v>
      </c>
      <c r="AG203" s="18">
        <v>46278.93884259259</v>
      </c>
      <c r="AH203" s="18">
        <v>46278.938888888886</v>
      </c>
      <c r="AI203" s="11"/>
      <c r="AJ203" s="18">
        <v>46278.938888888886</v>
      </c>
      <c r="AK203" s="11">
        <v>18253.0</v>
      </c>
      <c r="AL203" s="21" t="s">
        <v>1423</v>
      </c>
      <c r="AM203" s="16"/>
      <c r="AN203" s="14" t="s">
        <v>39</v>
      </c>
      <c r="AO203" s="23"/>
      <c r="AP203" s="16" t="s">
        <v>76</v>
      </c>
      <c r="AQ203" s="16">
        <v>4238.0</v>
      </c>
      <c r="AR203" s="16"/>
      <c r="AS203" s="11" t="s">
        <v>251</v>
      </c>
      <c r="AT203" s="11" t="s">
        <v>78</v>
      </c>
      <c r="AU203" s="11" t="s">
        <v>1766</v>
      </c>
      <c r="AV203" s="11">
        <v>5.3586158E7</v>
      </c>
      <c r="AW203" s="11" t="s">
        <v>79</v>
      </c>
      <c r="AX203" s="11">
        <v>1.15799637E9</v>
      </c>
      <c r="AY203" s="11" t="s">
        <v>1768</v>
      </c>
      <c r="AZ203" s="24">
        <v>41576.0</v>
      </c>
      <c r="BA203" s="11" t="s">
        <v>1771</v>
      </c>
      <c r="BB203" s="11" t="s">
        <v>81</v>
      </c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</row>
    <row r="204" ht="19.5" customHeight="1">
      <c r="A204" s="10" t="b">
        <v>0</v>
      </c>
      <c r="B204" s="11"/>
      <c r="C204" s="13" t="s">
        <v>59</v>
      </c>
      <c r="D204" s="14" t="s">
        <v>60</v>
      </c>
      <c r="E204" s="11"/>
      <c r="F204" s="15" t="s">
        <v>4</v>
      </c>
      <c r="G204" s="16">
        <v>64.0</v>
      </c>
      <c r="H204" s="16"/>
      <c r="I204" s="16">
        <v>46771.0</v>
      </c>
      <c r="J204" s="11" t="s">
        <v>61</v>
      </c>
      <c r="K204" s="11" t="s">
        <v>62</v>
      </c>
      <c r="L204" s="18">
        <v>46279.35018518518</v>
      </c>
      <c r="M204" s="18">
        <v>46279.35024305555</v>
      </c>
      <c r="N204" s="11" t="s">
        <v>63</v>
      </c>
      <c r="O204" s="11">
        <v>0.0</v>
      </c>
      <c r="P204" s="11" t="s">
        <v>1772</v>
      </c>
      <c r="Q204" s="11" t="s">
        <v>1773</v>
      </c>
      <c r="R204" s="11"/>
      <c r="S204" s="11" t="s">
        <v>1774</v>
      </c>
      <c r="T204" s="11"/>
      <c r="U204" s="11" t="s">
        <v>1775</v>
      </c>
      <c r="V204" s="11" t="s">
        <v>1776</v>
      </c>
      <c r="W204" s="11">
        <v>2000.0</v>
      </c>
      <c r="X204" s="11" t="s">
        <v>69</v>
      </c>
      <c r="Y204" s="11" t="s">
        <v>1777</v>
      </c>
      <c r="Z204" s="11">
        <v>5.493416184611E12</v>
      </c>
      <c r="AA204" s="11" t="s">
        <v>71</v>
      </c>
      <c r="AB204" s="11"/>
      <c r="AC204" s="11"/>
      <c r="AD204" s="18">
        <v>46279.35024305555</v>
      </c>
      <c r="AE204" s="11" t="s">
        <v>1778</v>
      </c>
      <c r="AF204" s="11" t="s">
        <v>1779</v>
      </c>
      <c r="AG204" s="18">
        <v>46279.47518518518</v>
      </c>
      <c r="AH204" s="18">
        <v>46279.47524305555</v>
      </c>
      <c r="AI204" s="11"/>
      <c r="AJ204" s="18">
        <v>46279.47524305555</v>
      </c>
      <c r="AK204" s="11">
        <v>18253.0</v>
      </c>
      <c r="AL204" s="21" t="s">
        <v>1423</v>
      </c>
      <c r="AM204" s="16"/>
      <c r="AN204" s="14" t="s">
        <v>39</v>
      </c>
      <c r="AO204" s="23"/>
      <c r="AP204" s="16" t="s">
        <v>76</v>
      </c>
      <c r="AQ204" s="16">
        <v>4104.0</v>
      </c>
      <c r="AR204" s="16"/>
      <c r="AS204" s="11" t="s">
        <v>1718</v>
      </c>
      <c r="AT204" s="10" t="s">
        <v>1780</v>
      </c>
      <c r="AU204" s="11" t="s">
        <v>1781</v>
      </c>
      <c r="AV204" s="11">
        <v>5.4029308E7</v>
      </c>
      <c r="AW204" s="11" t="s">
        <v>79</v>
      </c>
      <c r="AX204" s="11">
        <v>3.416184611E9</v>
      </c>
      <c r="AY204" s="11" t="s">
        <v>1782</v>
      </c>
      <c r="AZ204" s="24">
        <v>41761.0</v>
      </c>
      <c r="BA204" s="11" t="s">
        <v>1783</v>
      </c>
      <c r="BB204" s="11" t="s">
        <v>101</v>
      </c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</row>
    <row r="205" ht="19.5" customHeight="1">
      <c r="A205" s="10" t="b">
        <v>0</v>
      </c>
      <c r="B205" s="11"/>
      <c r="C205" s="13" t="s">
        <v>59</v>
      </c>
      <c r="D205" s="14" t="s">
        <v>60</v>
      </c>
      <c r="E205" s="11"/>
      <c r="F205" s="15" t="s">
        <v>4</v>
      </c>
      <c r="G205" s="16">
        <v>66.0</v>
      </c>
      <c r="H205" s="16"/>
      <c r="I205" s="16">
        <v>46773.0</v>
      </c>
      <c r="J205" s="11" t="s">
        <v>61</v>
      </c>
      <c r="K205" s="11" t="s">
        <v>62</v>
      </c>
      <c r="L205" s="18">
        <v>46279.35958333333</v>
      </c>
      <c r="M205" s="18">
        <v>46279.3596412037</v>
      </c>
      <c r="N205" s="11" t="s">
        <v>63</v>
      </c>
      <c r="O205" s="11">
        <v>0.0</v>
      </c>
      <c r="P205" s="11" t="s">
        <v>313</v>
      </c>
      <c r="Q205" s="11" t="s">
        <v>1784</v>
      </c>
      <c r="R205" s="11"/>
      <c r="S205" s="11" t="s">
        <v>1785</v>
      </c>
      <c r="T205" s="11"/>
      <c r="U205" s="11" t="s">
        <v>1786</v>
      </c>
      <c r="V205" s="11" t="s">
        <v>68</v>
      </c>
      <c r="W205" s="11">
        <v>1643.0</v>
      </c>
      <c r="X205" s="11" t="s">
        <v>69</v>
      </c>
      <c r="Y205" s="11" t="s">
        <v>1787</v>
      </c>
      <c r="Z205" s="11">
        <v>5.41133240918E11</v>
      </c>
      <c r="AA205" s="11" t="s">
        <v>71</v>
      </c>
      <c r="AB205" s="11"/>
      <c r="AC205" s="11"/>
      <c r="AD205" s="11"/>
      <c r="AE205" s="11" t="s">
        <v>1788</v>
      </c>
      <c r="AF205" s="11" t="s">
        <v>1789</v>
      </c>
      <c r="AG205" s="18">
        <v>46279.48458333333</v>
      </c>
      <c r="AH205" s="18">
        <v>46279.4846412037</v>
      </c>
      <c r="AI205" s="11"/>
      <c r="AJ205" s="11"/>
      <c r="AK205" s="11">
        <v>18253.0</v>
      </c>
      <c r="AL205" s="21" t="s">
        <v>1423</v>
      </c>
      <c r="AM205" s="16"/>
      <c r="AN205" s="14" t="s">
        <v>39</v>
      </c>
      <c r="AO205" s="23"/>
      <c r="AP205" s="16" t="s">
        <v>76</v>
      </c>
      <c r="AQ205" s="16">
        <v>4162.0</v>
      </c>
      <c r="AR205" s="16"/>
      <c r="AS205" s="11" t="s">
        <v>269</v>
      </c>
      <c r="AT205" s="11" t="s">
        <v>736</v>
      </c>
      <c r="AU205" s="11" t="s">
        <v>1790</v>
      </c>
      <c r="AV205" s="11">
        <v>5.2159528E7</v>
      </c>
      <c r="AW205" s="11" t="s">
        <v>79</v>
      </c>
      <c r="AX205" s="11">
        <v>1.133240918E9</v>
      </c>
      <c r="AY205" s="11" t="s">
        <v>1787</v>
      </c>
      <c r="AZ205" s="24">
        <v>40948.0</v>
      </c>
      <c r="BA205" s="11" t="s">
        <v>1791</v>
      </c>
      <c r="BB205" s="11" t="s">
        <v>81</v>
      </c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</row>
    <row r="206" ht="19.5" customHeight="1">
      <c r="A206" s="10" t="b">
        <v>0</v>
      </c>
      <c r="B206" s="11"/>
      <c r="C206" s="13" t="s">
        <v>60</v>
      </c>
      <c r="D206" s="14" t="s">
        <v>60</v>
      </c>
      <c r="E206" s="11"/>
      <c r="F206" s="15" t="s">
        <v>4</v>
      </c>
      <c r="G206" s="16">
        <v>73.0</v>
      </c>
      <c r="H206" s="16"/>
      <c r="I206" s="16">
        <v>46781.0</v>
      </c>
      <c r="J206" s="11" t="s">
        <v>61</v>
      </c>
      <c r="K206" s="11" t="s">
        <v>62</v>
      </c>
      <c r="L206" s="18">
        <v>46279.74045138889</v>
      </c>
      <c r="M206" s="18">
        <v>46279.74045138889</v>
      </c>
      <c r="N206" s="11" t="s">
        <v>63</v>
      </c>
      <c r="O206" s="11">
        <v>0.0</v>
      </c>
      <c r="P206" s="11" t="s">
        <v>231</v>
      </c>
      <c r="Q206" s="11" t="s">
        <v>232</v>
      </c>
      <c r="R206" s="11"/>
      <c r="S206" s="11" t="s">
        <v>1792</v>
      </c>
      <c r="T206" s="11"/>
      <c r="U206" s="11" t="s">
        <v>775</v>
      </c>
      <c r="V206" s="11" t="s">
        <v>68</v>
      </c>
      <c r="W206" s="11">
        <v>1644.0</v>
      </c>
      <c r="X206" s="11" t="s">
        <v>69</v>
      </c>
      <c r="Y206" s="11" t="s">
        <v>236</v>
      </c>
      <c r="Z206" s="11">
        <v>1.136916512E9</v>
      </c>
      <c r="AA206" s="11" t="s">
        <v>1793</v>
      </c>
      <c r="AB206" s="11"/>
      <c r="AC206" s="11"/>
      <c r="AD206" s="11"/>
      <c r="AE206" s="11" t="s">
        <v>1794</v>
      </c>
      <c r="AF206" s="11" t="s">
        <v>1795</v>
      </c>
      <c r="AG206" s="18">
        <v>46279.86545138889</v>
      </c>
      <c r="AH206" s="18">
        <v>46279.86545138889</v>
      </c>
      <c r="AI206" s="11"/>
      <c r="AJ206" s="11"/>
      <c r="AK206" s="11">
        <v>18253.0</v>
      </c>
      <c r="AL206" s="21" t="s">
        <v>1423</v>
      </c>
      <c r="AM206" s="16"/>
      <c r="AN206" s="16"/>
      <c r="AO206" s="23"/>
      <c r="AP206" s="16" t="s">
        <v>76</v>
      </c>
      <c r="AQ206" s="16">
        <v>4089.0</v>
      </c>
      <c r="AR206" s="16"/>
      <c r="AS206" s="11" t="s">
        <v>240</v>
      </c>
      <c r="AT206" s="11" t="s">
        <v>1796</v>
      </c>
      <c r="AU206" s="11" t="s">
        <v>232</v>
      </c>
      <c r="AV206" s="11">
        <v>5.2456716E7</v>
      </c>
      <c r="AW206" s="11" t="s">
        <v>99</v>
      </c>
      <c r="AX206" s="11">
        <v>1.136916512E9</v>
      </c>
      <c r="AY206" s="11" t="s">
        <v>236</v>
      </c>
      <c r="AZ206" s="24">
        <v>41073.0</v>
      </c>
      <c r="BA206" s="11" t="s">
        <v>1797</v>
      </c>
      <c r="BB206" s="11" t="s">
        <v>81</v>
      </c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</row>
    <row r="207" ht="19.5" customHeight="1">
      <c r="A207" s="10" t="b">
        <v>0</v>
      </c>
      <c r="B207" s="11"/>
      <c r="C207" s="13" t="s">
        <v>60</v>
      </c>
      <c r="D207" s="14" t="s">
        <v>60</v>
      </c>
      <c r="E207" s="11"/>
      <c r="F207" s="15" t="s">
        <v>4</v>
      </c>
      <c r="G207" s="16">
        <v>75.0</v>
      </c>
      <c r="H207" s="16"/>
      <c r="I207" s="16">
        <v>46783.0</v>
      </c>
      <c r="J207" s="11" t="s">
        <v>61</v>
      </c>
      <c r="K207" s="11" t="s">
        <v>62</v>
      </c>
      <c r="L207" s="18">
        <v>46280.53517361111</v>
      </c>
      <c r="M207" s="18">
        <v>46280.53523148148</v>
      </c>
      <c r="N207" s="11" t="s">
        <v>63</v>
      </c>
      <c r="O207" s="11">
        <v>0.0</v>
      </c>
      <c r="P207" s="11" t="s">
        <v>1798</v>
      </c>
      <c r="Q207" s="11" t="s">
        <v>1799</v>
      </c>
      <c r="R207" s="11"/>
      <c r="S207" s="11" t="s">
        <v>1800</v>
      </c>
      <c r="T207" s="11">
        <v>9.0</v>
      </c>
      <c r="U207" s="11" t="s">
        <v>158</v>
      </c>
      <c r="V207" s="11" t="s">
        <v>126</v>
      </c>
      <c r="W207" s="11">
        <v>1426.0</v>
      </c>
      <c r="X207" s="11" t="s">
        <v>69</v>
      </c>
      <c r="Y207" s="11" t="s">
        <v>1801</v>
      </c>
      <c r="Z207" s="11">
        <v>1.140883466E9</v>
      </c>
      <c r="AA207" s="11" t="s">
        <v>71</v>
      </c>
      <c r="AB207" s="11"/>
      <c r="AC207" s="11"/>
      <c r="AD207" s="18">
        <v>46280.53523148148</v>
      </c>
      <c r="AE207" s="11" t="s">
        <v>1802</v>
      </c>
      <c r="AF207" s="11" t="s">
        <v>1803</v>
      </c>
      <c r="AG207" s="18">
        <v>46280.66017361111</v>
      </c>
      <c r="AH207" s="18">
        <v>46280.66023148148</v>
      </c>
      <c r="AI207" s="11"/>
      <c r="AJ207" s="18">
        <v>46280.66023148148</v>
      </c>
      <c r="AK207" s="11">
        <v>18253.0</v>
      </c>
      <c r="AL207" s="21" t="s">
        <v>1423</v>
      </c>
      <c r="AM207" s="16"/>
      <c r="AN207" s="14" t="s">
        <v>39</v>
      </c>
      <c r="AO207" s="23"/>
      <c r="AP207" s="16" t="s">
        <v>76</v>
      </c>
      <c r="AQ207" s="16">
        <v>3675.0</v>
      </c>
      <c r="AR207" s="16"/>
      <c r="AS207" s="11" t="s">
        <v>1068</v>
      </c>
      <c r="AT207" s="11" t="s">
        <v>1804</v>
      </c>
      <c r="AU207" s="11" t="s">
        <v>1805</v>
      </c>
      <c r="AV207" s="11">
        <v>5.3236008E7</v>
      </c>
      <c r="AW207" s="11" t="s">
        <v>79</v>
      </c>
      <c r="AX207" s="11">
        <v>1.140883466E9</v>
      </c>
      <c r="AY207" s="11" t="s">
        <v>1801</v>
      </c>
      <c r="AZ207" s="24">
        <v>41388.0</v>
      </c>
      <c r="BA207" s="11" t="s">
        <v>956</v>
      </c>
      <c r="BB207" s="11" t="s">
        <v>101</v>
      </c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</row>
    <row r="208" ht="19.5" customHeight="1">
      <c r="A208" s="10" t="b">
        <v>0</v>
      </c>
      <c r="B208" s="11"/>
      <c r="C208" s="13" t="s">
        <v>60</v>
      </c>
      <c r="D208" s="14" t="s">
        <v>60</v>
      </c>
      <c r="E208" s="11"/>
      <c r="F208" s="15" t="s">
        <v>4</v>
      </c>
      <c r="G208" s="16">
        <v>78.0</v>
      </c>
      <c r="H208" s="16"/>
      <c r="I208" s="16">
        <v>46786.0</v>
      </c>
      <c r="J208" s="11" t="s">
        <v>61</v>
      </c>
      <c r="K208" s="11" t="s">
        <v>62</v>
      </c>
      <c r="L208" s="18">
        <v>46280.58225694444</v>
      </c>
      <c r="M208" s="18">
        <v>46280.58231481481</v>
      </c>
      <c r="N208" s="11" t="s">
        <v>63</v>
      </c>
      <c r="O208" s="11">
        <v>0.0</v>
      </c>
      <c r="P208" s="11" t="s">
        <v>1806</v>
      </c>
      <c r="Q208" s="11" t="s">
        <v>1017</v>
      </c>
      <c r="R208" s="11"/>
      <c r="S208" s="11" t="s">
        <v>1807</v>
      </c>
      <c r="T208" s="11"/>
      <c r="U208" s="11" t="s">
        <v>276</v>
      </c>
      <c r="V208" s="11" t="s">
        <v>68</v>
      </c>
      <c r="W208" s="11">
        <v>1430.0</v>
      </c>
      <c r="X208" s="11" t="s">
        <v>69</v>
      </c>
      <c r="Y208" s="11" t="s">
        <v>1808</v>
      </c>
      <c r="Z208" s="11">
        <v>5.41168526245E11</v>
      </c>
      <c r="AA208" s="11" t="s">
        <v>71</v>
      </c>
      <c r="AB208" s="11"/>
      <c r="AC208" s="11"/>
      <c r="AD208" s="18">
        <v>46280.58231481481</v>
      </c>
      <c r="AE208" s="11" t="s">
        <v>1809</v>
      </c>
      <c r="AF208" s="11" t="s">
        <v>1810</v>
      </c>
      <c r="AG208" s="18">
        <v>46280.70725694444</v>
      </c>
      <c r="AH208" s="18">
        <v>46280.70731481481</v>
      </c>
      <c r="AI208" s="11"/>
      <c r="AJ208" s="18">
        <v>46280.70731481481</v>
      </c>
      <c r="AK208" s="11">
        <v>18253.0</v>
      </c>
      <c r="AL208" s="21" t="s">
        <v>1423</v>
      </c>
      <c r="AM208" s="16"/>
      <c r="AN208" s="16"/>
      <c r="AO208" s="23"/>
      <c r="AP208" s="16" t="s">
        <v>76</v>
      </c>
      <c r="AQ208" s="16">
        <v>4165.0</v>
      </c>
      <c r="AR208" s="16"/>
      <c r="AS208" s="10" t="s">
        <v>1811</v>
      </c>
      <c r="AT208" s="11" t="s">
        <v>536</v>
      </c>
      <c r="AU208" s="11" t="s">
        <v>1017</v>
      </c>
      <c r="AV208" s="11">
        <v>5.2440028E7</v>
      </c>
      <c r="AW208" s="11" t="s">
        <v>99</v>
      </c>
      <c r="AX208" s="11">
        <v>1.168526245E9</v>
      </c>
      <c r="AY208" s="11" t="s">
        <v>1808</v>
      </c>
      <c r="AZ208" s="24">
        <v>41010.0</v>
      </c>
      <c r="BA208" s="11" t="s">
        <v>100</v>
      </c>
      <c r="BB208" s="11" t="s">
        <v>101</v>
      </c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</row>
    <row r="209" ht="19.5" customHeight="1">
      <c r="A209" s="10" t="b">
        <v>0</v>
      </c>
      <c r="B209" s="11"/>
      <c r="C209" s="13" t="s">
        <v>60</v>
      </c>
      <c r="D209" s="14" t="s">
        <v>60</v>
      </c>
      <c r="E209" s="11"/>
      <c r="F209" s="15" t="s">
        <v>4</v>
      </c>
      <c r="G209" s="16">
        <v>80.0</v>
      </c>
      <c r="H209" s="16"/>
      <c r="I209" s="16">
        <v>46790.0</v>
      </c>
      <c r="J209" s="11" t="s">
        <v>61</v>
      </c>
      <c r="K209" s="11" t="s">
        <v>62</v>
      </c>
      <c r="L209" s="18">
        <v>46280.757372685184</v>
      </c>
      <c r="M209" s="18">
        <v>46280.757418981484</v>
      </c>
      <c r="N209" s="11" t="s">
        <v>63</v>
      </c>
      <c r="O209" s="11">
        <v>0.0</v>
      </c>
      <c r="P209" s="11" t="s">
        <v>332</v>
      </c>
      <c r="Q209" s="11" t="s">
        <v>1812</v>
      </c>
      <c r="R209" s="11"/>
      <c r="S209" s="11" t="s">
        <v>1813</v>
      </c>
      <c r="T209" s="11"/>
      <c r="U209" s="11" t="s">
        <v>158</v>
      </c>
      <c r="V209" s="11" t="s">
        <v>126</v>
      </c>
      <c r="W209" s="11">
        <v>1427.0</v>
      </c>
      <c r="X209" s="11" t="s">
        <v>69</v>
      </c>
      <c r="Y209" s="11" t="s">
        <v>1814</v>
      </c>
      <c r="Z209" s="11">
        <v>1.155882998E9</v>
      </c>
      <c r="AA209" s="11" t="s">
        <v>71</v>
      </c>
      <c r="AB209" s="11"/>
      <c r="AC209" s="11"/>
      <c r="AD209" s="11"/>
      <c r="AE209" s="11" t="s">
        <v>1815</v>
      </c>
      <c r="AF209" s="11" t="s">
        <v>1816</v>
      </c>
      <c r="AG209" s="18">
        <v>46280.882372685184</v>
      </c>
      <c r="AH209" s="18">
        <v>46280.882418981484</v>
      </c>
      <c r="AI209" s="11"/>
      <c r="AJ209" s="11"/>
      <c r="AK209" s="11">
        <v>18253.0</v>
      </c>
      <c r="AL209" s="21" t="s">
        <v>1423</v>
      </c>
      <c r="AM209" s="16"/>
      <c r="AN209" s="16"/>
      <c r="AO209" s="23" t="s">
        <v>1817</v>
      </c>
      <c r="AP209" s="16" t="s">
        <v>76</v>
      </c>
      <c r="AQ209" s="16">
        <v>3749.0</v>
      </c>
      <c r="AR209" s="16"/>
      <c r="AS209" s="11" t="s">
        <v>197</v>
      </c>
      <c r="AT209" s="11" t="s">
        <v>1818</v>
      </c>
      <c r="AU209" s="11" t="s">
        <v>1812</v>
      </c>
      <c r="AV209" s="11">
        <v>5.3412958E7</v>
      </c>
      <c r="AW209" s="11" t="s">
        <v>99</v>
      </c>
      <c r="AX209" s="11">
        <v>1.155882998E9</v>
      </c>
      <c r="AY209" s="11" t="s">
        <v>1814</v>
      </c>
      <c r="AZ209" s="24">
        <v>41501.0</v>
      </c>
      <c r="BA209" s="11" t="s">
        <v>288</v>
      </c>
      <c r="BB209" s="11" t="s">
        <v>81</v>
      </c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</row>
    <row r="210" ht="19.5" customHeight="1">
      <c r="A210" s="10" t="b">
        <v>0</v>
      </c>
      <c r="B210" s="11"/>
      <c r="C210" s="13" t="s">
        <v>60</v>
      </c>
      <c r="D210" s="14" t="s">
        <v>60</v>
      </c>
      <c r="E210" s="11"/>
      <c r="F210" s="15" t="s">
        <v>4</v>
      </c>
      <c r="G210" s="16">
        <v>88.0</v>
      </c>
      <c r="H210" s="16"/>
      <c r="I210" s="16">
        <v>46798.0</v>
      </c>
      <c r="J210" s="11" t="s">
        <v>61</v>
      </c>
      <c r="K210" s="11" t="s">
        <v>62</v>
      </c>
      <c r="L210" s="18">
        <v>46281.44561342592</v>
      </c>
      <c r="M210" s="18">
        <v>46281.44561342592</v>
      </c>
      <c r="N210" s="11" t="s">
        <v>63</v>
      </c>
      <c r="O210" s="11">
        <v>0.0</v>
      </c>
      <c r="P210" s="11" t="s">
        <v>1819</v>
      </c>
      <c r="Q210" s="11" t="s">
        <v>1820</v>
      </c>
      <c r="R210" s="11"/>
      <c r="S210" s="11" t="s">
        <v>1821</v>
      </c>
      <c r="T210" s="11"/>
      <c r="U210" s="11" t="s">
        <v>428</v>
      </c>
      <c r="V210" s="11" t="s">
        <v>68</v>
      </c>
      <c r="W210" s="11">
        <v>1900.0</v>
      </c>
      <c r="X210" s="11" t="s">
        <v>69</v>
      </c>
      <c r="Y210" s="11" t="s">
        <v>1822</v>
      </c>
      <c r="Z210" s="11">
        <v>2.216746976E9</v>
      </c>
      <c r="AA210" s="11" t="s">
        <v>187</v>
      </c>
      <c r="AB210" s="11"/>
      <c r="AC210" s="11"/>
      <c r="AD210" s="11"/>
      <c r="AE210" s="11" t="s">
        <v>1823</v>
      </c>
      <c r="AF210" s="11" t="s">
        <v>1824</v>
      </c>
      <c r="AG210" s="18">
        <v>46281.57061342592</v>
      </c>
      <c r="AH210" s="18">
        <v>46281.57061342592</v>
      </c>
      <c r="AI210" s="11"/>
      <c r="AJ210" s="11"/>
      <c r="AK210" s="11">
        <v>18253.0</v>
      </c>
      <c r="AL210" s="21" t="s">
        <v>1423</v>
      </c>
      <c r="AM210" s="16"/>
      <c r="AN210" s="14" t="s">
        <v>39</v>
      </c>
      <c r="AO210" s="23"/>
      <c r="AP210" s="16" t="s">
        <v>76</v>
      </c>
      <c r="AQ210" s="16">
        <v>3245.0</v>
      </c>
      <c r="AR210" s="16"/>
      <c r="AS210" s="11" t="s">
        <v>433</v>
      </c>
      <c r="AT210" s="11" t="s">
        <v>1825</v>
      </c>
      <c r="AU210" s="11" t="s">
        <v>1826</v>
      </c>
      <c r="AV210" s="11">
        <v>5.1054452E7</v>
      </c>
      <c r="AW210" s="11" t="s">
        <v>79</v>
      </c>
      <c r="AX210" s="11">
        <v>2.216746976E9</v>
      </c>
      <c r="AY210" s="11" t="s">
        <v>1822</v>
      </c>
      <c r="AZ210" s="24">
        <v>40679.0</v>
      </c>
      <c r="BA210" s="11" t="s">
        <v>1827</v>
      </c>
      <c r="BB210" s="11" t="s">
        <v>81</v>
      </c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</row>
    <row r="211" ht="19.5" customHeight="1">
      <c r="A211" s="10" t="b">
        <v>0</v>
      </c>
      <c r="B211" s="11"/>
      <c r="C211" s="13" t="s">
        <v>60</v>
      </c>
      <c r="D211" s="14" t="s">
        <v>60</v>
      </c>
      <c r="E211" s="11"/>
      <c r="F211" s="15" t="s">
        <v>4</v>
      </c>
      <c r="G211" s="16">
        <v>97.0</v>
      </c>
      <c r="H211" s="16"/>
      <c r="I211" s="16">
        <v>46807.0</v>
      </c>
      <c r="J211" s="11" t="s">
        <v>61</v>
      </c>
      <c r="K211" s="11" t="s">
        <v>62</v>
      </c>
      <c r="L211" s="18">
        <v>46281.7181712963</v>
      </c>
      <c r="M211" s="18">
        <v>46281.71822916667</v>
      </c>
      <c r="N211" s="11" t="s">
        <v>63</v>
      </c>
      <c r="O211" s="11">
        <v>0.0</v>
      </c>
      <c r="P211" s="11" t="s">
        <v>929</v>
      </c>
      <c r="Q211" s="11" t="s">
        <v>750</v>
      </c>
      <c r="R211" s="11"/>
      <c r="S211" s="11" t="s">
        <v>1828</v>
      </c>
      <c r="T211" s="11" t="s">
        <v>316</v>
      </c>
      <c r="U211" s="11" t="s">
        <v>316</v>
      </c>
      <c r="V211" s="11" t="s">
        <v>68</v>
      </c>
      <c r="W211" s="11">
        <v>2800.0</v>
      </c>
      <c r="X211" s="11" t="s">
        <v>69</v>
      </c>
      <c r="Y211" s="11" t="s">
        <v>1829</v>
      </c>
      <c r="Z211" s="11">
        <v>3.48740222E9</v>
      </c>
      <c r="AA211" s="11" t="s">
        <v>71</v>
      </c>
      <c r="AB211" s="11"/>
      <c r="AC211" s="11"/>
      <c r="AD211" s="11"/>
      <c r="AE211" s="11" t="s">
        <v>1830</v>
      </c>
      <c r="AF211" s="11" t="s">
        <v>1831</v>
      </c>
      <c r="AG211" s="18">
        <v>46281.8431712963</v>
      </c>
      <c r="AH211" s="18">
        <v>46281.84322916667</v>
      </c>
      <c r="AI211" s="11"/>
      <c r="AJ211" s="11"/>
      <c r="AK211" s="11">
        <v>18253.0</v>
      </c>
      <c r="AL211" s="21" t="s">
        <v>1423</v>
      </c>
      <c r="AM211" s="16"/>
      <c r="AN211" s="16"/>
      <c r="AO211" s="23"/>
      <c r="AP211" s="16" t="s">
        <v>76</v>
      </c>
      <c r="AQ211" s="16">
        <v>4067.0</v>
      </c>
      <c r="AR211" s="16"/>
      <c r="AS211" s="11" t="s">
        <v>321</v>
      </c>
      <c r="AT211" s="11" t="s">
        <v>86</v>
      </c>
      <c r="AU211" s="11" t="s">
        <v>1832</v>
      </c>
      <c r="AV211" s="11">
        <v>5.3720418E7</v>
      </c>
      <c r="AW211" s="11" t="s">
        <v>99</v>
      </c>
      <c r="AX211" s="11">
        <v>3.48740222E9</v>
      </c>
      <c r="AY211" s="11" t="s">
        <v>1829</v>
      </c>
      <c r="AZ211" s="24">
        <v>41653.0</v>
      </c>
      <c r="BA211" s="11" t="s">
        <v>252</v>
      </c>
      <c r="BB211" s="11" t="s">
        <v>101</v>
      </c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</row>
    <row r="212" ht="19.5" customHeight="1">
      <c r="A212" s="10" t="b">
        <v>0</v>
      </c>
      <c r="B212" s="11"/>
      <c r="C212" s="13" t="s">
        <v>60</v>
      </c>
      <c r="D212" s="14" t="s">
        <v>60</v>
      </c>
      <c r="E212" s="11"/>
      <c r="F212" s="15" t="s">
        <v>4</v>
      </c>
      <c r="G212" s="16">
        <v>109.0</v>
      </c>
      <c r="H212" s="16"/>
      <c r="I212" s="16">
        <v>46820.0</v>
      </c>
      <c r="J212" s="11" t="s">
        <v>61</v>
      </c>
      <c r="K212" s="11" t="s">
        <v>62</v>
      </c>
      <c r="L212" s="18">
        <v>46282.40493055555</v>
      </c>
      <c r="M212" s="18">
        <v>46282.40498842593</v>
      </c>
      <c r="N212" s="11" t="s">
        <v>63</v>
      </c>
      <c r="O212" s="11">
        <v>0.0</v>
      </c>
      <c r="P212" s="11" t="s">
        <v>313</v>
      </c>
      <c r="Q212" s="11" t="s">
        <v>314</v>
      </c>
      <c r="R212" s="11"/>
      <c r="S212" s="11" t="s">
        <v>315</v>
      </c>
      <c r="T212" s="11"/>
      <c r="U212" s="11" t="s">
        <v>316</v>
      </c>
      <c r="V212" s="11" t="s">
        <v>68</v>
      </c>
      <c r="W212" s="11">
        <v>2800.0</v>
      </c>
      <c r="X212" s="11" t="s">
        <v>69</v>
      </c>
      <c r="Y212" s="11" t="s">
        <v>317</v>
      </c>
      <c r="Z212" s="11">
        <v>3.487302617E9</v>
      </c>
      <c r="AA212" s="11" t="s">
        <v>71</v>
      </c>
      <c r="AB212" s="11"/>
      <c r="AC212" s="11"/>
      <c r="AD212" s="11"/>
      <c r="AE212" s="11" t="s">
        <v>1833</v>
      </c>
      <c r="AF212" s="11" t="s">
        <v>1834</v>
      </c>
      <c r="AG212" s="18">
        <v>46282.52993055555</v>
      </c>
      <c r="AH212" s="18">
        <v>46282.52998842593</v>
      </c>
      <c r="AI212" s="11"/>
      <c r="AJ212" s="11"/>
      <c r="AK212" s="11">
        <v>18253.0</v>
      </c>
      <c r="AL212" s="21" t="s">
        <v>1423</v>
      </c>
      <c r="AM212" s="16"/>
      <c r="AN212" s="16"/>
      <c r="AO212" s="23" t="s">
        <v>1835</v>
      </c>
      <c r="AP212" s="16" t="s">
        <v>76</v>
      </c>
      <c r="AQ212" s="16">
        <v>4241.0</v>
      </c>
      <c r="AR212" s="16"/>
      <c r="AS212" s="11" t="s">
        <v>321</v>
      </c>
      <c r="AT212" s="11" t="s">
        <v>638</v>
      </c>
      <c r="AU212" s="11" t="s">
        <v>314</v>
      </c>
      <c r="AV212" s="11">
        <v>5.4099646E7</v>
      </c>
      <c r="AW212" s="11" t="s">
        <v>99</v>
      </c>
      <c r="AX212" s="11">
        <v>3.487302617E9</v>
      </c>
      <c r="AY212" s="11" t="s">
        <v>317</v>
      </c>
      <c r="AZ212" s="24">
        <v>41800.0</v>
      </c>
      <c r="BA212" s="11" t="s">
        <v>252</v>
      </c>
      <c r="BB212" s="11" t="s">
        <v>101</v>
      </c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</row>
    <row r="213" ht="19.5" customHeight="1">
      <c r="A213" s="10" t="b">
        <v>0</v>
      </c>
      <c r="B213" s="11"/>
      <c r="C213" s="13" t="s">
        <v>60</v>
      </c>
      <c r="D213" s="14" t="s">
        <v>60</v>
      </c>
      <c r="E213" s="11"/>
      <c r="F213" s="15" t="s">
        <v>4</v>
      </c>
      <c r="G213" s="16">
        <v>110.0</v>
      </c>
      <c r="H213" s="16"/>
      <c r="I213" s="16">
        <v>46821.0</v>
      </c>
      <c r="J213" s="11" t="s">
        <v>61</v>
      </c>
      <c r="K213" s="11" t="s">
        <v>62</v>
      </c>
      <c r="L213" s="18">
        <v>46282.41806712963</v>
      </c>
      <c r="M213" s="18">
        <v>46282.41813657407</v>
      </c>
      <c r="N213" s="11" t="s">
        <v>63</v>
      </c>
      <c r="O213" s="11">
        <v>0.0</v>
      </c>
      <c r="P213" s="11" t="s">
        <v>1836</v>
      </c>
      <c r="Q213" s="11" t="s">
        <v>1837</v>
      </c>
      <c r="R213" s="11"/>
      <c r="S213" s="11" t="s">
        <v>1838</v>
      </c>
      <c r="T213" s="11"/>
      <c r="U213" s="11" t="s">
        <v>1839</v>
      </c>
      <c r="V213" s="11" t="s">
        <v>68</v>
      </c>
      <c r="W213" s="11">
        <v>1629.0</v>
      </c>
      <c r="X213" s="11" t="s">
        <v>69</v>
      </c>
      <c r="Y213" s="11" t="s">
        <v>1840</v>
      </c>
      <c r="Z213" s="11">
        <v>1.144130196E9</v>
      </c>
      <c r="AA213" s="11" t="s">
        <v>71</v>
      </c>
      <c r="AB213" s="11"/>
      <c r="AC213" s="11"/>
      <c r="AD213" s="18">
        <v>46282.41813657407</v>
      </c>
      <c r="AE213" s="11" t="s">
        <v>1841</v>
      </c>
      <c r="AF213" s="11" t="s">
        <v>1842</v>
      </c>
      <c r="AG213" s="18">
        <v>46282.54306712963</v>
      </c>
      <c r="AH213" s="18">
        <v>46282.54313657407</v>
      </c>
      <c r="AI213" s="11"/>
      <c r="AJ213" s="18">
        <v>46282.54313657407</v>
      </c>
      <c r="AK213" s="11">
        <v>18253.0</v>
      </c>
      <c r="AL213" s="21" t="s">
        <v>1423</v>
      </c>
      <c r="AM213" s="16"/>
      <c r="AN213" s="14" t="s">
        <v>39</v>
      </c>
      <c r="AO213" s="23" t="s">
        <v>1843</v>
      </c>
      <c r="AP213" s="16" t="s">
        <v>76</v>
      </c>
      <c r="AQ213" s="16">
        <v>4187.0</v>
      </c>
      <c r="AR213" s="16"/>
      <c r="AS213" s="11" t="s">
        <v>240</v>
      </c>
      <c r="AT213" s="11" t="s">
        <v>1844</v>
      </c>
      <c r="AU213" s="11" t="s">
        <v>1837</v>
      </c>
      <c r="AV213" s="11">
        <v>5.27646E7</v>
      </c>
      <c r="AW213" s="11" t="s">
        <v>79</v>
      </c>
      <c r="AX213" s="11">
        <v>1.144130196E9</v>
      </c>
      <c r="AY213" s="11" t="s">
        <v>1845</v>
      </c>
      <c r="AZ213" s="24">
        <v>41189.0</v>
      </c>
      <c r="BA213" s="11" t="s">
        <v>144</v>
      </c>
      <c r="BB213" s="11" t="s">
        <v>81</v>
      </c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</row>
    <row r="214" ht="19.5" customHeight="1">
      <c r="A214" s="10" t="b">
        <v>0</v>
      </c>
      <c r="B214" s="11"/>
      <c r="C214" s="13" t="s">
        <v>60</v>
      </c>
      <c r="D214" s="14" t="s">
        <v>60</v>
      </c>
      <c r="E214" s="11"/>
      <c r="F214" s="15" t="s">
        <v>4</v>
      </c>
      <c r="G214" s="16">
        <v>111.0</v>
      </c>
      <c r="H214" s="16"/>
      <c r="I214" s="16">
        <v>46822.0</v>
      </c>
      <c r="J214" s="11" t="s">
        <v>61</v>
      </c>
      <c r="K214" s="11" t="s">
        <v>62</v>
      </c>
      <c r="L214" s="18">
        <v>46282.425775462965</v>
      </c>
      <c r="M214" s="18">
        <v>46282.42582175926</v>
      </c>
      <c r="N214" s="11" t="s">
        <v>63</v>
      </c>
      <c r="O214" s="11">
        <v>0.0</v>
      </c>
      <c r="P214" s="11" t="s">
        <v>145</v>
      </c>
      <c r="Q214" s="11" t="s">
        <v>325</v>
      </c>
      <c r="R214" s="11"/>
      <c r="S214" s="11" t="s">
        <v>326</v>
      </c>
      <c r="T214" s="11"/>
      <c r="U214" s="11" t="s">
        <v>158</v>
      </c>
      <c r="V214" s="11" t="s">
        <v>68</v>
      </c>
      <c r="W214" s="11">
        <v>1426.0</v>
      </c>
      <c r="X214" s="11" t="s">
        <v>69</v>
      </c>
      <c r="Y214" s="11" t="s">
        <v>327</v>
      </c>
      <c r="Z214" s="11">
        <v>5.41161347543E11</v>
      </c>
      <c r="AA214" s="11" t="s">
        <v>71</v>
      </c>
      <c r="AB214" s="11"/>
      <c r="AC214" s="11"/>
      <c r="AD214" s="18">
        <v>46282.42582175926</v>
      </c>
      <c r="AE214" s="11" t="s">
        <v>1846</v>
      </c>
      <c r="AF214" s="11" t="s">
        <v>1847</v>
      </c>
      <c r="AG214" s="18">
        <v>46282.550775462965</v>
      </c>
      <c r="AH214" s="18">
        <v>46282.55082175926</v>
      </c>
      <c r="AI214" s="11"/>
      <c r="AJ214" s="18">
        <v>46282.55082175926</v>
      </c>
      <c r="AK214" s="11">
        <v>18253.0</v>
      </c>
      <c r="AL214" s="21" t="s">
        <v>1423</v>
      </c>
      <c r="AM214" s="16"/>
      <c r="AN214" s="16"/>
      <c r="AO214" s="23"/>
      <c r="AP214" s="16" t="s">
        <v>76</v>
      </c>
      <c r="AQ214" s="16">
        <v>4060.0</v>
      </c>
      <c r="AR214" s="16"/>
      <c r="AS214" s="11" t="s">
        <v>374</v>
      </c>
      <c r="AT214" s="11" t="s">
        <v>1848</v>
      </c>
      <c r="AU214" s="11" t="s">
        <v>325</v>
      </c>
      <c r="AV214" s="11">
        <v>5.3855489E7</v>
      </c>
      <c r="AW214" s="11" t="s">
        <v>99</v>
      </c>
      <c r="AX214" s="11">
        <v>5.491161347543E12</v>
      </c>
      <c r="AY214" s="11" t="s">
        <v>327</v>
      </c>
      <c r="AZ214" s="24">
        <v>41725.0</v>
      </c>
      <c r="BA214" s="11" t="s">
        <v>100</v>
      </c>
      <c r="BB214" s="11" t="s">
        <v>101</v>
      </c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</row>
    <row r="215" ht="19.5" customHeight="1">
      <c r="A215" s="10" t="b">
        <v>0</v>
      </c>
      <c r="B215" s="11"/>
      <c r="C215" s="13" t="s">
        <v>60</v>
      </c>
      <c r="D215" s="14" t="s">
        <v>60</v>
      </c>
      <c r="E215" s="11"/>
      <c r="F215" s="15" t="s">
        <v>4</v>
      </c>
      <c r="G215" s="16">
        <v>113.0</v>
      </c>
      <c r="H215" s="16"/>
      <c r="I215" s="16">
        <v>46824.0</v>
      </c>
      <c r="J215" s="11" t="s">
        <v>61</v>
      </c>
      <c r="K215" s="11" t="s">
        <v>62</v>
      </c>
      <c r="L215" s="18">
        <v>46282.450150462966</v>
      </c>
      <c r="M215" s="18">
        <v>46282.45023148148</v>
      </c>
      <c r="N215" s="11" t="s">
        <v>63</v>
      </c>
      <c r="O215" s="11">
        <v>0.0</v>
      </c>
      <c r="P215" s="11" t="s">
        <v>313</v>
      </c>
      <c r="Q215" s="11" t="s">
        <v>1849</v>
      </c>
      <c r="R215" s="11"/>
      <c r="S215" s="11" t="s">
        <v>1850</v>
      </c>
      <c r="T215" s="11" t="s">
        <v>1851</v>
      </c>
      <c r="U215" s="11" t="s">
        <v>1852</v>
      </c>
      <c r="V215" s="11" t="s">
        <v>126</v>
      </c>
      <c r="W215" s="11">
        <v>2800.0</v>
      </c>
      <c r="X215" s="11" t="s">
        <v>69</v>
      </c>
      <c r="Y215" s="11" t="s">
        <v>1853</v>
      </c>
      <c r="Z215" s="11">
        <v>5.43487405879E11</v>
      </c>
      <c r="AA215" s="11" t="s">
        <v>71</v>
      </c>
      <c r="AB215" s="11"/>
      <c r="AC215" s="11"/>
      <c r="AD215" s="18">
        <v>46282.45023148148</v>
      </c>
      <c r="AE215" s="11" t="s">
        <v>1854</v>
      </c>
      <c r="AF215" s="11" t="s">
        <v>1855</v>
      </c>
      <c r="AG215" s="18">
        <v>46282.575150462966</v>
      </c>
      <c r="AH215" s="18">
        <v>46282.57523148148</v>
      </c>
      <c r="AI215" s="11"/>
      <c r="AJ215" s="18">
        <v>46282.57523148148</v>
      </c>
      <c r="AK215" s="11">
        <v>18253.0</v>
      </c>
      <c r="AL215" s="21" t="s">
        <v>1423</v>
      </c>
      <c r="AM215" s="16"/>
      <c r="AN215" s="16"/>
      <c r="AO215" s="23" t="s">
        <v>1856</v>
      </c>
      <c r="AP215" s="16" t="s">
        <v>76</v>
      </c>
      <c r="AQ215" s="16">
        <v>4170.0</v>
      </c>
      <c r="AR215" s="16"/>
      <c r="AS215" s="11" t="s">
        <v>321</v>
      </c>
      <c r="AT215" s="11" t="s">
        <v>1857</v>
      </c>
      <c r="AU215" s="11" t="s">
        <v>1858</v>
      </c>
      <c r="AV215" s="11">
        <v>5.3684579E7</v>
      </c>
      <c r="AW215" s="11" t="s">
        <v>99</v>
      </c>
      <c r="AX215" s="11">
        <v>3.487405879E9</v>
      </c>
      <c r="AY215" s="11" t="s">
        <v>1853</v>
      </c>
      <c r="AZ215" s="24">
        <v>41649.0</v>
      </c>
      <c r="BA215" s="11" t="s">
        <v>144</v>
      </c>
      <c r="BB215" s="11" t="s">
        <v>101</v>
      </c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</row>
    <row r="216" ht="19.5" customHeight="1">
      <c r="A216" s="10" t="b">
        <v>0</v>
      </c>
      <c r="B216" s="11"/>
      <c r="C216" s="13" t="s">
        <v>60</v>
      </c>
      <c r="D216" s="14" t="s">
        <v>60</v>
      </c>
      <c r="E216" s="11"/>
      <c r="F216" s="15" t="s">
        <v>4</v>
      </c>
      <c r="G216" s="16">
        <v>116.0</v>
      </c>
      <c r="H216" s="16"/>
      <c r="I216" s="16">
        <v>46827.0</v>
      </c>
      <c r="J216" s="11" t="s">
        <v>61</v>
      </c>
      <c r="K216" s="11" t="s">
        <v>62</v>
      </c>
      <c r="L216" s="18">
        <v>46282.573530092595</v>
      </c>
      <c r="M216" s="18">
        <v>46282.57357638889</v>
      </c>
      <c r="N216" s="11" t="s">
        <v>63</v>
      </c>
      <c r="O216" s="11">
        <v>0.0</v>
      </c>
      <c r="P216" s="11" t="s">
        <v>537</v>
      </c>
      <c r="Q216" s="11" t="s">
        <v>1859</v>
      </c>
      <c r="R216" s="11"/>
      <c r="S216" s="11" t="s">
        <v>1860</v>
      </c>
      <c r="T216" s="11" t="s">
        <v>1861</v>
      </c>
      <c r="U216" s="11" t="s">
        <v>549</v>
      </c>
      <c r="V216" s="11" t="s">
        <v>68</v>
      </c>
      <c r="W216" s="11">
        <v>1900.0</v>
      </c>
      <c r="X216" s="11" t="s">
        <v>69</v>
      </c>
      <c r="Y216" s="11" t="s">
        <v>1862</v>
      </c>
      <c r="Z216" s="11">
        <v>5.492215638412E12</v>
      </c>
      <c r="AA216" s="11" t="s">
        <v>71</v>
      </c>
      <c r="AB216" s="11"/>
      <c r="AC216" s="11"/>
      <c r="AD216" s="11"/>
      <c r="AE216" s="11" t="s">
        <v>1863</v>
      </c>
      <c r="AF216" s="11" t="s">
        <v>1864</v>
      </c>
      <c r="AG216" s="18">
        <v>46282.698530092595</v>
      </c>
      <c r="AH216" s="18">
        <v>46282.69857638889</v>
      </c>
      <c r="AI216" s="11"/>
      <c r="AJ216" s="11"/>
      <c r="AK216" s="11">
        <v>18253.0</v>
      </c>
      <c r="AL216" s="21" t="s">
        <v>1423</v>
      </c>
      <c r="AM216" s="16"/>
      <c r="AN216" s="14" t="s">
        <v>39</v>
      </c>
      <c r="AO216" s="23"/>
      <c r="AP216" s="16" t="s">
        <v>76</v>
      </c>
      <c r="AQ216" s="16">
        <v>3903.0</v>
      </c>
      <c r="AR216" s="16"/>
      <c r="AS216" s="11" t="s">
        <v>433</v>
      </c>
      <c r="AT216" s="11" t="s">
        <v>1865</v>
      </c>
      <c r="AU216" s="11" t="s">
        <v>1866</v>
      </c>
      <c r="AV216" s="11">
        <v>5.0901006E7</v>
      </c>
      <c r="AW216" s="11" t="s">
        <v>79</v>
      </c>
      <c r="AX216" s="11">
        <v>2.214880233E9</v>
      </c>
      <c r="AY216" s="11" t="s">
        <v>1867</v>
      </c>
      <c r="AZ216" s="24">
        <v>40588.0</v>
      </c>
      <c r="BA216" s="11" t="s">
        <v>436</v>
      </c>
      <c r="BB216" s="11" t="s">
        <v>101</v>
      </c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</row>
    <row r="217" ht="19.5" customHeight="1">
      <c r="A217" s="10" t="b">
        <v>0</v>
      </c>
      <c r="B217" s="11"/>
      <c r="C217" s="13" t="s">
        <v>60</v>
      </c>
      <c r="D217" s="14" t="s">
        <v>60</v>
      </c>
      <c r="E217" s="11"/>
      <c r="F217" s="15" t="s">
        <v>4</v>
      </c>
      <c r="G217" s="16">
        <v>117.0</v>
      </c>
      <c r="H217" s="16"/>
      <c r="I217" s="16">
        <v>46828.0</v>
      </c>
      <c r="J217" s="11" t="s">
        <v>61</v>
      </c>
      <c r="K217" s="11" t="s">
        <v>62</v>
      </c>
      <c r="L217" s="18">
        <v>46282.602002314816</v>
      </c>
      <c r="M217" s="18">
        <v>46282.60204861111</v>
      </c>
      <c r="N217" s="11" t="s">
        <v>63</v>
      </c>
      <c r="O217" s="11">
        <v>0.0</v>
      </c>
      <c r="P217" s="11" t="s">
        <v>1868</v>
      </c>
      <c r="Q217" s="11" t="s">
        <v>1869</v>
      </c>
      <c r="R217" s="11"/>
      <c r="S217" s="11" t="s">
        <v>1870</v>
      </c>
      <c r="T217" s="11"/>
      <c r="U217" s="11" t="s">
        <v>1319</v>
      </c>
      <c r="V217" s="11" t="s">
        <v>68</v>
      </c>
      <c r="W217" s="11">
        <v>2800.0</v>
      </c>
      <c r="X217" s="11" t="s">
        <v>69</v>
      </c>
      <c r="Y217" s="11" t="s">
        <v>1871</v>
      </c>
      <c r="Z217" s="11">
        <v>5.493487314537E12</v>
      </c>
      <c r="AA217" s="11" t="s">
        <v>71</v>
      </c>
      <c r="AB217" s="11"/>
      <c r="AC217" s="11"/>
      <c r="AD217" s="18">
        <v>46282.60204861111</v>
      </c>
      <c r="AE217" s="11" t="s">
        <v>1872</v>
      </c>
      <c r="AF217" s="11" t="s">
        <v>1873</v>
      </c>
      <c r="AG217" s="18">
        <v>46282.727002314816</v>
      </c>
      <c r="AH217" s="18">
        <v>46282.72704861111</v>
      </c>
      <c r="AI217" s="11"/>
      <c r="AJ217" s="18">
        <v>46282.72704861111</v>
      </c>
      <c r="AK217" s="11">
        <v>18253.0</v>
      </c>
      <c r="AL217" s="21" t="s">
        <v>1423</v>
      </c>
      <c r="AM217" s="16"/>
      <c r="AN217" s="16"/>
      <c r="AO217" s="23"/>
      <c r="AP217" s="16" t="s">
        <v>76</v>
      </c>
      <c r="AQ217" s="16">
        <v>4282.0</v>
      </c>
      <c r="AR217" s="16"/>
      <c r="AS217" s="10" t="s">
        <v>1874</v>
      </c>
      <c r="AT217" s="11" t="s">
        <v>1875</v>
      </c>
      <c r="AU217" s="11" t="s">
        <v>1869</v>
      </c>
      <c r="AV217" s="11">
        <v>5.2192618E7</v>
      </c>
      <c r="AW217" s="11" t="s">
        <v>99</v>
      </c>
      <c r="AX217" s="11">
        <v>3.48715314537E11</v>
      </c>
      <c r="AY217" s="11" t="s">
        <v>1871</v>
      </c>
      <c r="AZ217" s="24">
        <v>40970.0</v>
      </c>
      <c r="BA217" s="11" t="s">
        <v>1876</v>
      </c>
      <c r="BB217" s="11" t="s">
        <v>101</v>
      </c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</row>
    <row r="218" ht="19.5" customHeight="1">
      <c r="A218" s="10" t="b">
        <v>0</v>
      </c>
      <c r="B218" s="11"/>
      <c r="C218" s="13" t="s">
        <v>59</v>
      </c>
      <c r="D218" s="14" t="s">
        <v>60</v>
      </c>
      <c r="E218" s="11"/>
      <c r="F218" s="15" t="s">
        <v>4</v>
      </c>
      <c r="G218" s="16">
        <v>122.0</v>
      </c>
      <c r="H218" s="16"/>
      <c r="I218" s="16">
        <v>46833.0</v>
      </c>
      <c r="J218" s="11" t="s">
        <v>61</v>
      </c>
      <c r="K218" s="11" t="s">
        <v>62</v>
      </c>
      <c r="L218" s="18">
        <v>46282.6815625</v>
      </c>
      <c r="M218" s="18">
        <v>46282.68203703704</v>
      </c>
      <c r="N218" s="11" t="s">
        <v>63</v>
      </c>
      <c r="O218" s="11">
        <v>0.0</v>
      </c>
      <c r="P218" s="11" t="s">
        <v>86</v>
      </c>
      <c r="Q218" s="11" t="s">
        <v>1877</v>
      </c>
      <c r="R218" s="11"/>
      <c r="S218" s="11" t="s">
        <v>1878</v>
      </c>
      <c r="T218" s="11" t="s">
        <v>1879</v>
      </c>
      <c r="U218" s="11" t="s">
        <v>428</v>
      </c>
      <c r="V218" s="11" t="s">
        <v>68</v>
      </c>
      <c r="W218" s="11">
        <v>1900.0</v>
      </c>
      <c r="X218" s="11" t="s">
        <v>69</v>
      </c>
      <c r="Y218" s="11" t="s">
        <v>1880</v>
      </c>
      <c r="Z218" s="11">
        <v>5.42213573333E11</v>
      </c>
      <c r="AA218" s="11" t="s">
        <v>71</v>
      </c>
      <c r="AB218" s="11"/>
      <c r="AC218" s="11"/>
      <c r="AD218" s="18">
        <v>46282.68203703704</v>
      </c>
      <c r="AE218" s="11" t="s">
        <v>1881</v>
      </c>
      <c r="AF218" s="11" t="s">
        <v>1882</v>
      </c>
      <c r="AG218" s="18">
        <v>46282.8065625</v>
      </c>
      <c r="AH218" s="18">
        <v>46282.80703703704</v>
      </c>
      <c r="AI218" s="11"/>
      <c r="AJ218" s="18">
        <v>46282.80703703704</v>
      </c>
      <c r="AK218" s="11">
        <v>18253.0</v>
      </c>
      <c r="AL218" s="21" t="s">
        <v>1423</v>
      </c>
      <c r="AM218" s="16"/>
      <c r="AN218" s="14" t="s">
        <v>39</v>
      </c>
      <c r="AO218" s="23"/>
      <c r="AP218" s="16" t="s">
        <v>76</v>
      </c>
      <c r="AQ218" s="16">
        <v>4193.0</v>
      </c>
      <c r="AR218" s="16"/>
      <c r="AS218" s="11" t="s">
        <v>433</v>
      </c>
      <c r="AT218" s="11" t="s">
        <v>1883</v>
      </c>
      <c r="AU218" s="11" t="s">
        <v>1877</v>
      </c>
      <c r="AV218" s="11">
        <v>5.126117E7</v>
      </c>
      <c r="AW218" s="11" t="s">
        <v>79</v>
      </c>
      <c r="AX218" s="11">
        <v>2.213573333E9</v>
      </c>
      <c r="AY218" s="11" t="s">
        <v>1880</v>
      </c>
      <c r="AZ218" s="24">
        <v>40755.0</v>
      </c>
      <c r="BA218" s="11" t="s">
        <v>252</v>
      </c>
      <c r="BB218" s="11" t="s">
        <v>101</v>
      </c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</row>
    <row r="219" ht="19.5" customHeight="1">
      <c r="A219" s="10" t="b">
        <v>0</v>
      </c>
      <c r="B219" s="11"/>
      <c r="C219" s="13" t="s">
        <v>60</v>
      </c>
      <c r="D219" s="14" t="s">
        <v>60</v>
      </c>
      <c r="E219" s="11"/>
      <c r="F219" s="15" t="s">
        <v>4</v>
      </c>
      <c r="G219" s="16">
        <v>123.0</v>
      </c>
      <c r="H219" s="16"/>
      <c r="I219" s="16">
        <v>46834.0</v>
      </c>
      <c r="J219" s="11" t="s">
        <v>61</v>
      </c>
      <c r="K219" s="11" t="s">
        <v>62</v>
      </c>
      <c r="L219" s="18">
        <v>46282.68467592593</v>
      </c>
      <c r="M219" s="18">
        <v>46282.684745370374</v>
      </c>
      <c r="N219" s="11" t="s">
        <v>63</v>
      </c>
      <c r="O219" s="11">
        <v>0.0</v>
      </c>
      <c r="P219" s="11" t="s">
        <v>909</v>
      </c>
      <c r="Q219" s="11" t="s">
        <v>1884</v>
      </c>
      <c r="R219" s="11"/>
      <c r="S219" s="11" t="s">
        <v>1885</v>
      </c>
      <c r="T219" s="11"/>
      <c r="U219" s="11" t="s">
        <v>1886</v>
      </c>
      <c r="V219" s="11" t="s">
        <v>68</v>
      </c>
      <c r="W219" s="11">
        <v>6000.0</v>
      </c>
      <c r="X219" s="11" t="s">
        <v>69</v>
      </c>
      <c r="Y219" s="11" t="s">
        <v>1887</v>
      </c>
      <c r="Z219" s="11">
        <v>2.36469228E9</v>
      </c>
      <c r="AA219" s="11" t="s">
        <v>71</v>
      </c>
      <c r="AB219" s="11"/>
      <c r="AC219" s="11"/>
      <c r="AD219" s="18">
        <v>46282.684745370374</v>
      </c>
      <c r="AE219" s="11" t="s">
        <v>1888</v>
      </c>
      <c r="AF219" s="11" t="s">
        <v>1889</v>
      </c>
      <c r="AG219" s="18">
        <v>46282.80967592593</v>
      </c>
      <c r="AH219" s="18">
        <v>46282.809745370374</v>
      </c>
      <c r="AI219" s="11"/>
      <c r="AJ219" s="18">
        <v>46282.809745370374</v>
      </c>
      <c r="AK219" s="11">
        <v>18253.0</v>
      </c>
      <c r="AL219" s="21" t="s">
        <v>1423</v>
      </c>
      <c r="AM219" s="16"/>
      <c r="AN219" s="16"/>
      <c r="AO219" s="23"/>
      <c r="AP219" s="16" t="s">
        <v>76</v>
      </c>
      <c r="AQ219" s="16">
        <v>4260.0</v>
      </c>
      <c r="AR219" s="16"/>
      <c r="AS219" s="10" t="s">
        <v>1890</v>
      </c>
      <c r="AT219" s="11" t="s">
        <v>1891</v>
      </c>
      <c r="AU219" s="11" t="s">
        <v>1892</v>
      </c>
      <c r="AV219" s="11">
        <v>2.6074076E7</v>
      </c>
      <c r="AW219" s="11" t="s">
        <v>99</v>
      </c>
      <c r="AX219" s="11">
        <v>2.36469228E9</v>
      </c>
      <c r="AY219" s="11" t="s">
        <v>1887</v>
      </c>
      <c r="AZ219" s="24">
        <v>40546.0</v>
      </c>
      <c r="BA219" s="11" t="s">
        <v>100</v>
      </c>
      <c r="BB219" s="11" t="s">
        <v>81</v>
      </c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</row>
    <row r="220" ht="19.5" customHeight="1">
      <c r="A220" s="10" t="b">
        <v>0</v>
      </c>
      <c r="B220" s="11"/>
      <c r="C220" s="13" t="s">
        <v>59</v>
      </c>
      <c r="D220" s="14" t="s">
        <v>60</v>
      </c>
      <c r="E220" s="11"/>
      <c r="F220" s="15" t="s">
        <v>4</v>
      </c>
      <c r="G220" s="16">
        <v>124.0</v>
      </c>
      <c r="H220" s="16"/>
      <c r="I220" s="16">
        <v>46835.0</v>
      </c>
      <c r="J220" s="11" t="s">
        <v>61</v>
      </c>
      <c r="K220" s="11" t="s">
        <v>62</v>
      </c>
      <c r="L220" s="18">
        <v>46282.688796296294</v>
      </c>
      <c r="M220" s="18">
        <v>46282.68884259259</v>
      </c>
      <c r="N220" s="11" t="s">
        <v>63</v>
      </c>
      <c r="O220" s="11">
        <v>0.0</v>
      </c>
      <c r="P220" s="11" t="s">
        <v>1893</v>
      </c>
      <c r="Q220" s="11" t="s">
        <v>1894</v>
      </c>
      <c r="R220" s="11"/>
      <c r="S220" s="11" t="s">
        <v>1895</v>
      </c>
      <c r="T220" s="11"/>
      <c r="U220" s="11" t="s">
        <v>1896</v>
      </c>
      <c r="V220" s="11" t="s">
        <v>68</v>
      </c>
      <c r="W220" s="11">
        <v>1640.0</v>
      </c>
      <c r="X220" s="11" t="s">
        <v>69</v>
      </c>
      <c r="Y220" s="11" t="s">
        <v>1897</v>
      </c>
      <c r="Z220" s="11">
        <v>1.162588124E9</v>
      </c>
      <c r="AA220" s="11" t="s">
        <v>71</v>
      </c>
      <c r="AB220" s="11"/>
      <c r="AC220" s="11"/>
      <c r="AD220" s="18">
        <v>46282.68884259259</v>
      </c>
      <c r="AE220" s="11" t="s">
        <v>1898</v>
      </c>
      <c r="AF220" s="11" t="s">
        <v>1899</v>
      </c>
      <c r="AG220" s="18">
        <v>46282.813796296294</v>
      </c>
      <c r="AH220" s="18">
        <v>46282.81384259259</v>
      </c>
      <c r="AI220" s="11"/>
      <c r="AJ220" s="18">
        <v>46282.81384259259</v>
      </c>
      <c r="AK220" s="11">
        <v>18253.0</v>
      </c>
      <c r="AL220" s="21" t="s">
        <v>1423</v>
      </c>
      <c r="AM220" s="16"/>
      <c r="AN220" s="16"/>
      <c r="AO220" s="23"/>
      <c r="AP220" s="16" t="s">
        <v>76</v>
      </c>
      <c r="AQ220" s="16">
        <v>4204.0</v>
      </c>
      <c r="AR220" s="16"/>
      <c r="AS220" s="11" t="s">
        <v>298</v>
      </c>
      <c r="AT220" s="11" t="s">
        <v>1900</v>
      </c>
      <c r="AU220" s="11" t="s">
        <v>1901</v>
      </c>
      <c r="AV220" s="11">
        <v>5.2122807E7</v>
      </c>
      <c r="AW220" s="11" t="s">
        <v>99</v>
      </c>
      <c r="AX220" s="11">
        <v>1.162588124E9</v>
      </c>
      <c r="AY220" s="11" t="s">
        <v>1897</v>
      </c>
      <c r="AZ220" s="24">
        <v>40954.0</v>
      </c>
      <c r="BA220" s="11" t="s">
        <v>1902</v>
      </c>
      <c r="BB220" s="11" t="s">
        <v>349</v>
      </c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</row>
    <row r="221" ht="19.5" customHeight="1">
      <c r="A221" s="10" t="b">
        <v>0</v>
      </c>
      <c r="B221" s="11"/>
      <c r="C221" s="13" t="s">
        <v>59</v>
      </c>
      <c r="D221" s="14" t="s">
        <v>60</v>
      </c>
      <c r="E221" s="11"/>
      <c r="F221" s="15" t="s">
        <v>4</v>
      </c>
      <c r="G221" s="16">
        <v>125.0</v>
      </c>
      <c r="H221" s="16"/>
      <c r="I221" s="16">
        <v>46836.0</v>
      </c>
      <c r="J221" s="11" t="s">
        <v>61</v>
      </c>
      <c r="K221" s="11" t="s">
        <v>62</v>
      </c>
      <c r="L221" s="18">
        <v>46282.71184027778</v>
      </c>
      <c r="M221" s="18">
        <v>46282.711909722224</v>
      </c>
      <c r="N221" s="11" t="s">
        <v>63</v>
      </c>
      <c r="O221" s="11">
        <v>0.0</v>
      </c>
      <c r="P221" s="11" t="s">
        <v>1903</v>
      </c>
      <c r="Q221" s="11" t="s">
        <v>1904</v>
      </c>
      <c r="R221" s="11"/>
      <c r="S221" s="11" t="s">
        <v>1905</v>
      </c>
      <c r="T221" s="11"/>
      <c r="U221" s="11" t="s">
        <v>1906</v>
      </c>
      <c r="V221" s="11" t="s">
        <v>101</v>
      </c>
      <c r="W221" s="11">
        <v>2000.0</v>
      </c>
      <c r="X221" s="11" t="s">
        <v>69</v>
      </c>
      <c r="Y221" s="11" t="s">
        <v>1907</v>
      </c>
      <c r="Z221" s="11">
        <v>5.493416239137E12</v>
      </c>
      <c r="AA221" s="11" t="s">
        <v>71</v>
      </c>
      <c r="AB221" s="11"/>
      <c r="AC221" s="11"/>
      <c r="AD221" s="18">
        <v>46282.711909722224</v>
      </c>
      <c r="AE221" s="11" t="s">
        <v>1908</v>
      </c>
      <c r="AF221" s="11" t="s">
        <v>1909</v>
      </c>
      <c r="AG221" s="18">
        <v>46282.83684027778</v>
      </c>
      <c r="AH221" s="18">
        <v>46282.836909722224</v>
      </c>
      <c r="AI221" s="11"/>
      <c r="AJ221" s="18">
        <v>46282.836909722224</v>
      </c>
      <c r="AK221" s="11">
        <v>18253.0</v>
      </c>
      <c r="AL221" s="21" t="s">
        <v>1423</v>
      </c>
      <c r="AM221" s="16"/>
      <c r="AN221" s="14" t="s">
        <v>39</v>
      </c>
      <c r="AO221" s="23" t="s">
        <v>1910</v>
      </c>
      <c r="AP221" s="16" t="s">
        <v>76</v>
      </c>
      <c r="AQ221" s="16">
        <v>4087.0</v>
      </c>
      <c r="AR221" s="16"/>
      <c r="AS221" s="11" t="s">
        <v>1718</v>
      </c>
      <c r="AT221" s="11" t="s">
        <v>1234</v>
      </c>
      <c r="AU221" s="11" t="s">
        <v>1911</v>
      </c>
      <c r="AV221" s="11">
        <v>5.2906229E7</v>
      </c>
      <c r="AW221" s="11" t="s">
        <v>79</v>
      </c>
      <c r="AX221" s="11">
        <v>3.416239137E9</v>
      </c>
      <c r="AY221" s="11" t="s">
        <v>1907</v>
      </c>
      <c r="AZ221" s="24">
        <v>41279.0</v>
      </c>
      <c r="BA221" s="11" t="s">
        <v>100</v>
      </c>
      <c r="BB221" s="11" t="s">
        <v>101</v>
      </c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</row>
    <row r="222" ht="19.5" customHeight="1">
      <c r="A222" s="10" t="b">
        <v>0</v>
      </c>
      <c r="B222" s="11"/>
      <c r="C222" s="13" t="s">
        <v>60</v>
      </c>
      <c r="D222" s="14" t="s">
        <v>60</v>
      </c>
      <c r="E222" s="11"/>
      <c r="F222" s="15" t="s">
        <v>4</v>
      </c>
      <c r="G222" s="16">
        <v>130.0</v>
      </c>
      <c r="H222" s="16"/>
      <c r="I222" s="16">
        <v>46841.0</v>
      </c>
      <c r="J222" s="11" t="s">
        <v>61</v>
      </c>
      <c r="K222" s="11" t="s">
        <v>62</v>
      </c>
      <c r="L222" s="18">
        <v>46282.72875</v>
      </c>
      <c r="M222" s="18">
        <v>46282.72880787037</v>
      </c>
      <c r="N222" s="11" t="s">
        <v>63</v>
      </c>
      <c r="O222" s="11">
        <v>0.0</v>
      </c>
      <c r="P222" s="11" t="s">
        <v>1912</v>
      </c>
      <c r="Q222" s="11" t="s">
        <v>1913</v>
      </c>
      <c r="R222" s="11"/>
      <c r="S222" s="11" t="s">
        <v>1914</v>
      </c>
      <c r="T222" s="11"/>
      <c r="U222" s="11" t="s">
        <v>455</v>
      </c>
      <c r="V222" s="11" t="s">
        <v>68</v>
      </c>
      <c r="W222" s="11">
        <v>1925.0</v>
      </c>
      <c r="X222" s="11" t="s">
        <v>69</v>
      </c>
      <c r="Y222" s="11" t="s">
        <v>1915</v>
      </c>
      <c r="Z222" s="11">
        <v>5.42215909668E11</v>
      </c>
      <c r="AA222" s="11" t="s">
        <v>71</v>
      </c>
      <c r="AB222" s="11"/>
      <c r="AC222" s="11"/>
      <c r="AD222" s="18">
        <v>46282.72880787037</v>
      </c>
      <c r="AE222" s="11" t="s">
        <v>1916</v>
      </c>
      <c r="AF222" s="11" t="s">
        <v>1917</v>
      </c>
      <c r="AG222" s="18">
        <v>46282.85375</v>
      </c>
      <c r="AH222" s="18">
        <v>46282.85380787037</v>
      </c>
      <c r="AI222" s="11"/>
      <c r="AJ222" s="18">
        <v>46282.85380787037</v>
      </c>
      <c r="AK222" s="11">
        <v>18253.0</v>
      </c>
      <c r="AL222" s="21" t="s">
        <v>1423</v>
      </c>
      <c r="AM222" s="16"/>
      <c r="AN222" s="14" t="s">
        <v>39</v>
      </c>
      <c r="AO222" s="23"/>
      <c r="AP222" s="16" t="s">
        <v>76</v>
      </c>
      <c r="AQ222" s="16">
        <v>4160.0</v>
      </c>
      <c r="AR222" s="16"/>
      <c r="AS222" s="11" t="s">
        <v>433</v>
      </c>
      <c r="AT222" s="11" t="s">
        <v>130</v>
      </c>
      <c r="AU222" s="11" t="s">
        <v>1913</v>
      </c>
      <c r="AV222" s="11">
        <v>5.2725158E7</v>
      </c>
      <c r="AW222" s="11" t="s">
        <v>79</v>
      </c>
      <c r="AX222" s="11">
        <v>2.215909668E9</v>
      </c>
      <c r="AY222" s="11" t="s">
        <v>1915</v>
      </c>
      <c r="AZ222" s="31">
        <v>41167.0</v>
      </c>
      <c r="BA222" s="11" t="s">
        <v>436</v>
      </c>
      <c r="BB222" s="11" t="s">
        <v>101</v>
      </c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</row>
    <row r="223" ht="19.5" customHeight="1">
      <c r="A223" s="10" t="b">
        <v>0</v>
      </c>
      <c r="B223" s="11"/>
      <c r="C223" s="13" t="s">
        <v>59</v>
      </c>
      <c r="D223" s="14" t="s">
        <v>60</v>
      </c>
      <c r="E223" s="11"/>
      <c r="F223" s="15" t="s">
        <v>4</v>
      </c>
      <c r="G223" s="16">
        <v>146.0</v>
      </c>
      <c r="H223" s="16"/>
      <c r="I223" s="16">
        <v>46857.0</v>
      </c>
      <c r="J223" s="11" t="s">
        <v>61</v>
      </c>
      <c r="K223" s="11" t="s">
        <v>62</v>
      </c>
      <c r="L223" s="18">
        <v>46283.39501157407</v>
      </c>
      <c r="M223" s="18">
        <v>46283.39509259259</v>
      </c>
      <c r="N223" s="11" t="s">
        <v>63</v>
      </c>
      <c r="O223" s="11">
        <v>0.0</v>
      </c>
      <c r="P223" s="11" t="s">
        <v>1918</v>
      </c>
      <c r="Q223" s="11" t="s">
        <v>1919</v>
      </c>
      <c r="R223" s="11"/>
      <c r="S223" s="11" t="s">
        <v>1920</v>
      </c>
      <c r="T223" s="11"/>
      <c r="U223" s="11" t="s">
        <v>643</v>
      </c>
      <c r="V223" s="11" t="s">
        <v>101</v>
      </c>
      <c r="W223" s="11">
        <v>2000.0</v>
      </c>
      <c r="X223" s="11" t="s">
        <v>69</v>
      </c>
      <c r="Y223" s="11" t="s">
        <v>1921</v>
      </c>
      <c r="Z223" s="11">
        <v>3.416215746E9</v>
      </c>
      <c r="AA223" s="11" t="s">
        <v>71</v>
      </c>
      <c r="AB223" s="11"/>
      <c r="AC223" s="11"/>
      <c r="AD223" s="18">
        <v>46283.39509259259</v>
      </c>
      <c r="AE223" s="11" t="s">
        <v>1922</v>
      </c>
      <c r="AF223" s="11" t="s">
        <v>1923</v>
      </c>
      <c r="AG223" s="18">
        <v>46283.52001157407</v>
      </c>
      <c r="AH223" s="18">
        <v>46283.52009259259</v>
      </c>
      <c r="AI223" s="11"/>
      <c r="AJ223" s="18">
        <v>46283.52009259259</v>
      </c>
      <c r="AK223" s="11">
        <v>18253.0</v>
      </c>
      <c r="AL223" s="21" t="s">
        <v>1423</v>
      </c>
      <c r="AM223" s="16"/>
      <c r="AN223" s="14" t="s">
        <v>39</v>
      </c>
      <c r="AO223" s="23"/>
      <c r="AP223" s="16" t="s">
        <v>76</v>
      </c>
      <c r="AQ223" s="16">
        <v>4025.0</v>
      </c>
      <c r="AR223" s="16"/>
      <c r="AS223" s="11" t="s">
        <v>1753</v>
      </c>
      <c r="AT223" s="11" t="s">
        <v>876</v>
      </c>
      <c r="AU223" s="11" t="s">
        <v>1924</v>
      </c>
      <c r="AV223" s="11">
        <v>5.2756455E7</v>
      </c>
      <c r="AW223" s="11" t="s">
        <v>79</v>
      </c>
      <c r="AX223" s="11">
        <v>3.416215746E9</v>
      </c>
      <c r="AY223" s="11" t="s">
        <v>1925</v>
      </c>
      <c r="AZ223" s="31">
        <v>41152.0</v>
      </c>
      <c r="BA223" s="11" t="s">
        <v>144</v>
      </c>
      <c r="BB223" s="11" t="s">
        <v>101</v>
      </c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</row>
    <row r="224" ht="19.5" customHeight="1">
      <c r="A224" s="10" t="b">
        <v>0</v>
      </c>
      <c r="B224" s="11"/>
      <c r="C224" s="13" t="s">
        <v>60</v>
      </c>
      <c r="D224" s="14" t="s">
        <v>60</v>
      </c>
      <c r="E224" s="11"/>
      <c r="F224" s="15" t="s">
        <v>4</v>
      </c>
      <c r="G224" s="16">
        <v>153.0</v>
      </c>
      <c r="H224" s="16"/>
      <c r="I224" s="16">
        <v>46864.0</v>
      </c>
      <c r="J224" s="11" t="s">
        <v>61</v>
      </c>
      <c r="K224" s="11" t="s">
        <v>62</v>
      </c>
      <c r="L224" s="18">
        <v>46283.43833333333</v>
      </c>
      <c r="M224" s="18">
        <v>46283.43837962963</v>
      </c>
      <c r="N224" s="11" t="s">
        <v>63</v>
      </c>
      <c r="O224" s="11">
        <v>0.0</v>
      </c>
      <c r="P224" s="11" t="s">
        <v>909</v>
      </c>
      <c r="Q224" s="11" t="s">
        <v>1884</v>
      </c>
      <c r="R224" s="11"/>
      <c r="S224" s="11" t="s">
        <v>1926</v>
      </c>
      <c r="T224" s="11"/>
      <c r="U224" s="11" t="s">
        <v>1886</v>
      </c>
      <c r="V224" s="11" t="s">
        <v>68</v>
      </c>
      <c r="W224" s="11">
        <v>6000.0</v>
      </c>
      <c r="X224" s="11" t="s">
        <v>69</v>
      </c>
      <c r="Y224" s="11" t="s">
        <v>1887</v>
      </c>
      <c r="Z224" s="11">
        <v>2.36469228E9</v>
      </c>
      <c r="AA224" s="11" t="s">
        <v>71</v>
      </c>
      <c r="AB224" s="11"/>
      <c r="AC224" s="11"/>
      <c r="AD224" s="11"/>
      <c r="AE224" s="11" t="s">
        <v>1927</v>
      </c>
      <c r="AF224" s="11" t="s">
        <v>1928</v>
      </c>
      <c r="AG224" s="18">
        <v>46283.56333333333</v>
      </c>
      <c r="AH224" s="18">
        <v>46283.56337962963</v>
      </c>
      <c r="AI224" s="11"/>
      <c r="AJ224" s="11"/>
      <c r="AK224" s="11">
        <v>18253.0</v>
      </c>
      <c r="AL224" s="21" t="s">
        <v>1423</v>
      </c>
      <c r="AM224" s="16"/>
      <c r="AN224" s="16"/>
      <c r="AO224" s="23"/>
      <c r="AP224" s="16" t="s">
        <v>76</v>
      </c>
      <c r="AQ224" s="16">
        <v>4175.0</v>
      </c>
      <c r="AR224" s="16"/>
      <c r="AS224" s="11" t="s">
        <v>218</v>
      </c>
      <c r="AT224" s="11" t="s">
        <v>1929</v>
      </c>
      <c r="AU224" s="11" t="s">
        <v>1892</v>
      </c>
      <c r="AV224" s="11">
        <v>5.3218075E7</v>
      </c>
      <c r="AW224" s="11" t="s">
        <v>99</v>
      </c>
      <c r="AX224" s="11">
        <v>2.36469228E9</v>
      </c>
      <c r="AY224" s="11" t="s">
        <v>1887</v>
      </c>
      <c r="AZ224" s="24">
        <v>41495.0</v>
      </c>
      <c r="BA224" s="11" t="s">
        <v>100</v>
      </c>
      <c r="BB224" s="11" t="s">
        <v>101</v>
      </c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</row>
    <row r="225" ht="19.5" customHeight="1">
      <c r="A225" s="10" t="b">
        <v>0</v>
      </c>
      <c r="B225" s="11"/>
      <c r="C225" s="13" t="s">
        <v>59</v>
      </c>
      <c r="D225" s="14" t="s">
        <v>60</v>
      </c>
      <c r="E225" s="11"/>
      <c r="F225" s="15" t="s">
        <v>4</v>
      </c>
      <c r="G225" s="16">
        <v>155.0</v>
      </c>
      <c r="H225" s="16"/>
      <c r="I225" s="16">
        <v>46866.0</v>
      </c>
      <c r="J225" s="11" t="s">
        <v>61</v>
      </c>
      <c r="K225" s="11" t="s">
        <v>62</v>
      </c>
      <c r="L225" s="18">
        <v>46283.480416666665</v>
      </c>
      <c r="M225" s="18">
        <v>46283.48042824074</v>
      </c>
      <c r="N225" s="11" t="s">
        <v>63</v>
      </c>
      <c r="O225" s="11">
        <v>0.0</v>
      </c>
      <c r="P225" s="11" t="s">
        <v>1930</v>
      </c>
      <c r="Q225" s="11" t="s">
        <v>1931</v>
      </c>
      <c r="R225" s="11"/>
      <c r="S225" s="11" t="s">
        <v>1932</v>
      </c>
      <c r="T225" s="11">
        <v>748.0</v>
      </c>
      <c r="U225" s="11" t="s">
        <v>1214</v>
      </c>
      <c r="V225" s="11" t="s">
        <v>101</v>
      </c>
      <c r="W225" s="11">
        <v>2124.0</v>
      </c>
      <c r="X225" s="11" t="s">
        <v>69</v>
      </c>
      <c r="Y225" s="11" t="s">
        <v>1933</v>
      </c>
      <c r="Z225" s="11">
        <v>3.413819921E9</v>
      </c>
      <c r="AA225" s="11" t="s">
        <v>645</v>
      </c>
      <c r="AB225" s="11"/>
      <c r="AC225" s="11"/>
      <c r="AD225" s="11"/>
      <c r="AE225" s="11" t="s">
        <v>1934</v>
      </c>
      <c r="AF225" s="11" t="s">
        <v>1935</v>
      </c>
      <c r="AG225" s="18">
        <v>46283.605416666665</v>
      </c>
      <c r="AH225" s="18">
        <v>46283.60542824074</v>
      </c>
      <c r="AI225" s="11"/>
      <c r="AJ225" s="11"/>
      <c r="AK225" s="11">
        <v>18253.0</v>
      </c>
      <c r="AL225" s="21" t="s">
        <v>1423</v>
      </c>
      <c r="AM225" s="16"/>
      <c r="AN225" s="16"/>
      <c r="AO225" s="23"/>
      <c r="AP225" s="16" t="s">
        <v>76</v>
      </c>
      <c r="AQ225" s="16">
        <v>4275.0</v>
      </c>
      <c r="AR225" s="16"/>
      <c r="AS225" s="11" t="s">
        <v>1936</v>
      </c>
      <c r="AT225" s="11" t="s">
        <v>1937</v>
      </c>
      <c r="AU225" s="11" t="s">
        <v>1938</v>
      </c>
      <c r="AV225" s="11">
        <v>5.3623848E7</v>
      </c>
      <c r="AW225" s="11" t="s">
        <v>99</v>
      </c>
      <c r="AX225" s="11">
        <v>3.413819921E9</v>
      </c>
      <c r="AY225" s="11" t="s">
        <v>1933</v>
      </c>
      <c r="AZ225" s="24">
        <v>41590.0</v>
      </c>
      <c r="BA225" s="11" t="s">
        <v>1220</v>
      </c>
      <c r="BB225" s="11" t="s">
        <v>81</v>
      </c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</row>
    <row r="226" ht="19.5" customHeight="1">
      <c r="A226" s="10" t="b">
        <v>0</v>
      </c>
      <c r="B226" s="11"/>
      <c r="C226" s="13" t="s">
        <v>59</v>
      </c>
      <c r="D226" s="14" t="s">
        <v>60</v>
      </c>
      <c r="E226" s="11"/>
      <c r="F226" s="15" t="s">
        <v>4</v>
      </c>
      <c r="G226" s="16">
        <v>157.0</v>
      </c>
      <c r="H226" s="16"/>
      <c r="I226" s="16">
        <v>46868.0</v>
      </c>
      <c r="J226" s="11" t="s">
        <v>61</v>
      </c>
      <c r="K226" s="11" t="s">
        <v>62</v>
      </c>
      <c r="L226" s="18">
        <v>46283.484131944446</v>
      </c>
      <c r="M226" s="18">
        <v>46283.484143518515</v>
      </c>
      <c r="N226" s="11" t="s">
        <v>63</v>
      </c>
      <c r="O226" s="11">
        <v>0.0</v>
      </c>
      <c r="P226" s="11" t="s">
        <v>445</v>
      </c>
      <c r="Q226" s="11" t="s">
        <v>1939</v>
      </c>
      <c r="R226" s="11"/>
      <c r="S226" s="11" t="s">
        <v>1940</v>
      </c>
      <c r="T226" s="11"/>
      <c r="U226" s="11" t="s">
        <v>643</v>
      </c>
      <c r="V226" s="11" t="s">
        <v>101</v>
      </c>
      <c r="W226" s="11">
        <v>2000.0</v>
      </c>
      <c r="X226" s="11" t="s">
        <v>69</v>
      </c>
      <c r="Y226" s="11" t="s">
        <v>1941</v>
      </c>
      <c r="Z226" s="11">
        <v>3.416987798E9</v>
      </c>
      <c r="AA226" s="11" t="s">
        <v>645</v>
      </c>
      <c r="AB226" s="11"/>
      <c r="AC226" s="11"/>
      <c r="AD226" s="11"/>
      <c r="AE226" s="11" t="s">
        <v>1942</v>
      </c>
      <c r="AF226" s="11" t="s">
        <v>1943</v>
      </c>
      <c r="AG226" s="18">
        <v>46283.609131944446</v>
      </c>
      <c r="AH226" s="18">
        <v>46283.609143518515</v>
      </c>
      <c r="AI226" s="11"/>
      <c r="AJ226" s="11"/>
      <c r="AK226" s="11">
        <v>18253.0</v>
      </c>
      <c r="AL226" s="21" t="s">
        <v>1423</v>
      </c>
      <c r="AM226" s="16" t="s">
        <v>1426</v>
      </c>
      <c r="AN226" s="16"/>
      <c r="AO226" s="23"/>
      <c r="AP226" s="16" t="s">
        <v>76</v>
      </c>
      <c r="AQ226" s="16">
        <v>3999.0</v>
      </c>
      <c r="AR226" s="16"/>
      <c r="AS226" s="11" t="s">
        <v>1936</v>
      </c>
      <c r="AT226" s="11" t="s">
        <v>377</v>
      </c>
      <c r="AU226" s="11" t="s">
        <v>1944</v>
      </c>
      <c r="AV226" s="11">
        <v>5.0241942E7</v>
      </c>
      <c r="AW226" s="11" t="s">
        <v>99</v>
      </c>
      <c r="AX226" s="11">
        <v>3.416987798E9</v>
      </c>
      <c r="AY226" s="11" t="s">
        <v>1941</v>
      </c>
      <c r="AZ226" s="24">
        <v>42142.0</v>
      </c>
      <c r="BA226" s="11" t="s">
        <v>1783</v>
      </c>
      <c r="BB226" s="11" t="s">
        <v>101</v>
      </c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</row>
    <row r="227" ht="19.5" customHeight="1">
      <c r="A227" s="10" t="b">
        <v>0</v>
      </c>
      <c r="B227" s="11"/>
      <c r="C227" s="13" t="s">
        <v>59</v>
      </c>
      <c r="D227" s="14" t="s">
        <v>60</v>
      </c>
      <c r="E227" s="11"/>
      <c r="F227" s="15" t="s">
        <v>4</v>
      </c>
      <c r="G227" s="16">
        <v>158.0</v>
      </c>
      <c r="H227" s="16"/>
      <c r="I227" s="16">
        <v>46869.0</v>
      </c>
      <c r="J227" s="11" t="s">
        <v>61</v>
      </c>
      <c r="K227" s="11" t="s">
        <v>62</v>
      </c>
      <c r="L227" s="18">
        <v>46283.49203703704</v>
      </c>
      <c r="M227" s="18">
        <v>46283.49208333333</v>
      </c>
      <c r="N227" s="11" t="s">
        <v>63</v>
      </c>
      <c r="O227" s="11">
        <v>0.0</v>
      </c>
      <c r="P227" s="11" t="s">
        <v>1945</v>
      </c>
      <c r="Q227" s="11" t="s">
        <v>1946</v>
      </c>
      <c r="R227" s="11"/>
      <c r="S227" s="11" t="s">
        <v>1947</v>
      </c>
      <c r="T227" s="11"/>
      <c r="U227" s="11" t="s">
        <v>276</v>
      </c>
      <c r="V227" s="11" t="s">
        <v>126</v>
      </c>
      <c r="W227" s="11">
        <v>1129.0</v>
      </c>
      <c r="X227" s="11" t="s">
        <v>69</v>
      </c>
      <c r="Y227" s="11" t="s">
        <v>1948</v>
      </c>
      <c r="Z227" s="11">
        <v>1.144921544E9</v>
      </c>
      <c r="AA227" s="11" t="s">
        <v>71</v>
      </c>
      <c r="AB227" s="11"/>
      <c r="AC227" s="11"/>
      <c r="AD227" s="18">
        <v>46283.49208333333</v>
      </c>
      <c r="AE227" s="11" t="s">
        <v>1949</v>
      </c>
      <c r="AF227" s="11" t="s">
        <v>1950</v>
      </c>
      <c r="AG227" s="18">
        <v>46283.61703703704</v>
      </c>
      <c r="AH227" s="18">
        <v>46283.61708333333</v>
      </c>
      <c r="AI227" s="11"/>
      <c r="AJ227" s="18">
        <v>46283.61708333333</v>
      </c>
      <c r="AK227" s="11">
        <v>18253.0</v>
      </c>
      <c r="AL227" s="21" t="s">
        <v>1423</v>
      </c>
      <c r="AM227" s="16"/>
      <c r="AN227" s="16"/>
      <c r="AO227" s="23"/>
      <c r="AP227" s="16" t="s">
        <v>76</v>
      </c>
      <c r="AQ227" s="16">
        <v>4191.0</v>
      </c>
      <c r="AR227" s="16"/>
      <c r="AS227" s="11" t="s">
        <v>197</v>
      </c>
      <c r="AT227" s="11" t="s">
        <v>162</v>
      </c>
      <c r="AU227" s="11" t="s">
        <v>1951</v>
      </c>
      <c r="AV227" s="11">
        <v>5.3761156E7</v>
      </c>
      <c r="AW227" s="11" t="s">
        <v>99</v>
      </c>
      <c r="AX227" s="11">
        <v>1.144921544E9</v>
      </c>
      <c r="AY227" s="11" t="s">
        <v>1948</v>
      </c>
      <c r="AZ227" s="24">
        <v>41661.0</v>
      </c>
      <c r="BA227" s="11" t="s">
        <v>100</v>
      </c>
      <c r="BB227" s="11" t="s">
        <v>101</v>
      </c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</row>
    <row r="228" ht="19.5" customHeight="1">
      <c r="A228" s="10" t="b">
        <v>0</v>
      </c>
      <c r="B228" s="11"/>
      <c r="C228" s="13" t="s">
        <v>59</v>
      </c>
      <c r="D228" s="14" t="s">
        <v>60</v>
      </c>
      <c r="E228" s="11"/>
      <c r="F228" s="15" t="s">
        <v>4</v>
      </c>
      <c r="G228" s="16">
        <v>161.0</v>
      </c>
      <c r="H228" s="16"/>
      <c r="I228" s="16">
        <v>46872.0</v>
      </c>
      <c r="J228" s="11" t="s">
        <v>402</v>
      </c>
      <c r="K228" s="11" t="s">
        <v>62</v>
      </c>
      <c r="L228" s="18">
        <v>46283.506527777776</v>
      </c>
      <c r="M228" s="18">
        <v>46283.506527777776</v>
      </c>
      <c r="N228" s="11" t="s">
        <v>63</v>
      </c>
      <c r="O228" s="11">
        <v>0.0</v>
      </c>
      <c r="P228" s="11" t="s">
        <v>1952</v>
      </c>
      <c r="Q228" s="11" t="s">
        <v>869</v>
      </c>
      <c r="R228" s="11"/>
      <c r="S228" s="11" t="s">
        <v>1953</v>
      </c>
      <c r="T228" s="11"/>
      <c r="U228" s="11" t="s">
        <v>1954</v>
      </c>
      <c r="V228" s="11" t="s">
        <v>168</v>
      </c>
      <c r="W228" s="11"/>
      <c r="X228" s="11" t="s">
        <v>169</v>
      </c>
      <c r="Y228" s="11" t="s">
        <v>1955</v>
      </c>
      <c r="Z228" s="11">
        <v>5.6987757707E10</v>
      </c>
      <c r="AA228" s="11" t="s">
        <v>71</v>
      </c>
      <c r="AB228" s="11"/>
      <c r="AC228" s="11"/>
      <c r="AD228" s="11"/>
      <c r="AE228" s="11" t="s">
        <v>1956</v>
      </c>
      <c r="AF228" s="11" t="s">
        <v>1957</v>
      </c>
      <c r="AG228" s="18">
        <v>46283.631527777776</v>
      </c>
      <c r="AH228" s="18">
        <v>46283.631527777776</v>
      </c>
      <c r="AI228" s="11"/>
      <c r="AJ228" s="11"/>
      <c r="AK228" s="11">
        <v>18253.0</v>
      </c>
      <c r="AL228" s="21" t="s">
        <v>1423</v>
      </c>
      <c r="AM228" s="16"/>
      <c r="AN228" s="14" t="s">
        <v>39</v>
      </c>
      <c r="AO228" s="23"/>
      <c r="AP228" s="16" t="s">
        <v>175</v>
      </c>
      <c r="AQ228" s="16">
        <v>681.0</v>
      </c>
      <c r="AR228" s="16"/>
      <c r="AS228" s="11" t="s">
        <v>176</v>
      </c>
      <c r="AT228" s="11" t="s">
        <v>1952</v>
      </c>
      <c r="AU228" s="11" t="s">
        <v>1958</v>
      </c>
      <c r="AV228" s="11">
        <v>2.44378773E8</v>
      </c>
      <c r="AW228" s="11" t="s">
        <v>79</v>
      </c>
      <c r="AX228" s="11">
        <v>5.6987757707E10</v>
      </c>
      <c r="AY228" s="11" t="s">
        <v>1955</v>
      </c>
      <c r="AZ228" s="24">
        <v>41582.0</v>
      </c>
      <c r="BA228" s="11" t="s">
        <v>1959</v>
      </c>
      <c r="BB228" s="11" t="s">
        <v>81</v>
      </c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</row>
    <row r="229" ht="19.5" customHeight="1">
      <c r="A229" s="10" t="b">
        <v>0</v>
      </c>
      <c r="B229" s="11"/>
      <c r="C229" s="13" t="s">
        <v>60</v>
      </c>
      <c r="D229" s="14" t="s">
        <v>60</v>
      </c>
      <c r="E229" s="11"/>
      <c r="F229" s="15" t="s">
        <v>4</v>
      </c>
      <c r="G229" s="16">
        <v>165.0</v>
      </c>
      <c r="H229" s="16"/>
      <c r="I229" s="16">
        <v>46876.0</v>
      </c>
      <c r="J229" s="11" t="s">
        <v>402</v>
      </c>
      <c r="K229" s="11" t="s">
        <v>62</v>
      </c>
      <c r="L229" s="18">
        <v>46283.54126157407</v>
      </c>
      <c r="M229" s="18">
        <v>46283.54126157407</v>
      </c>
      <c r="N229" s="11" t="s">
        <v>63</v>
      </c>
      <c r="O229" s="11">
        <v>0.0</v>
      </c>
      <c r="P229" s="11" t="s">
        <v>416</v>
      </c>
      <c r="Q229" s="11" t="s">
        <v>417</v>
      </c>
      <c r="R229" s="11"/>
      <c r="S229" s="11" t="s">
        <v>418</v>
      </c>
      <c r="T229" s="11"/>
      <c r="U229" s="11" t="s">
        <v>316</v>
      </c>
      <c r="V229" s="11" t="s">
        <v>68</v>
      </c>
      <c r="W229" s="11">
        <v>2800.0</v>
      </c>
      <c r="X229" s="11" t="s">
        <v>69</v>
      </c>
      <c r="Y229" s="11" t="s">
        <v>419</v>
      </c>
      <c r="Z229" s="11">
        <v>3.487330425E9</v>
      </c>
      <c r="AA229" s="11" t="s">
        <v>71</v>
      </c>
      <c r="AB229" s="11"/>
      <c r="AC229" s="11"/>
      <c r="AD229" s="11"/>
      <c r="AE229" s="11" t="s">
        <v>1960</v>
      </c>
      <c r="AF229" s="11" t="s">
        <v>1961</v>
      </c>
      <c r="AG229" s="18">
        <v>46283.66626157407</v>
      </c>
      <c r="AH229" s="18">
        <v>46283.66626157407</v>
      </c>
      <c r="AI229" s="11"/>
      <c r="AJ229" s="11"/>
      <c r="AK229" s="11">
        <v>18253.0</v>
      </c>
      <c r="AL229" s="21" t="s">
        <v>1423</v>
      </c>
      <c r="AM229" s="16"/>
      <c r="AN229" s="16"/>
      <c r="AO229" s="23" t="s">
        <v>1962</v>
      </c>
      <c r="AP229" s="16" t="s">
        <v>76</v>
      </c>
      <c r="AQ229" s="16">
        <v>4240.0</v>
      </c>
      <c r="AR229" s="16"/>
      <c r="AS229" s="11" t="s">
        <v>321</v>
      </c>
      <c r="AT229" s="11" t="s">
        <v>86</v>
      </c>
      <c r="AU229" s="11" t="s">
        <v>417</v>
      </c>
      <c r="AV229" s="11">
        <v>5.3417016E7</v>
      </c>
      <c r="AW229" s="11" t="s">
        <v>99</v>
      </c>
      <c r="AX229" s="11">
        <v>3.487330425E9</v>
      </c>
      <c r="AY229" s="11" t="s">
        <v>419</v>
      </c>
      <c r="AZ229" s="24">
        <v>41536.0</v>
      </c>
      <c r="BA229" s="11" t="s">
        <v>424</v>
      </c>
      <c r="BB229" s="11" t="s">
        <v>349</v>
      </c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</row>
    <row r="230" ht="19.5" customHeight="1">
      <c r="A230" s="10" t="b">
        <v>0</v>
      </c>
      <c r="B230" s="11"/>
      <c r="C230" s="13" t="s">
        <v>59</v>
      </c>
      <c r="D230" s="14" t="s">
        <v>60</v>
      </c>
      <c r="E230" s="11"/>
      <c r="F230" s="15" t="s">
        <v>4</v>
      </c>
      <c r="G230" s="16">
        <v>166.0</v>
      </c>
      <c r="H230" s="16"/>
      <c r="I230" s="16">
        <v>46877.0</v>
      </c>
      <c r="J230" s="11" t="s">
        <v>61</v>
      </c>
      <c r="K230" s="11" t="s">
        <v>62</v>
      </c>
      <c r="L230" s="18">
        <v>46283.599756944444</v>
      </c>
      <c r="M230" s="18">
        <v>46283.59976851852</v>
      </c>
      <c r="N230" s="11" t="s">
        <v>63</v>
      </c>
      <c r="O230" s="11">
        <v>0.0</v>
      </c>
      <c r="P230" s="11" t="s">
        <v>1963</v>
      </c>
      <c r="Q230" s="11" t="s">
        <v>1964</v>
      </c>
      <c r="R230" s="11"/>
      <c r="S230" s="11" t="s">
        <v>1965</v>
      </c>
      <c r="T230" s="11"/>
      <c r="U230" s="11" t="s">
        <v>643</v>
      </c>
      <c r="V230" s="11" t="s">
        <v>101</v>
      </c>
      <c r="W230" s="11" t="s">
        <v>1966</v>
      </c>
      <c r="X230" s="11" t="s">
        <v>69</v>
      </c>
      <c r="Y230" s="11" t="s">
        <v>1967</v>
      </c>
      <c r="Z230" s="11">
        <v>3.413652026E9</v>
      </c>
      <c r="AA230" s="11" t="s">
        <v>645</v>
      </c>
      <c r="AB230" s="11"/>
      <c r="AC230" s="11"/>
      <c r="AD230" s="11"/>
      <c r="AE230" s="11" t="s">
        <v>1968</v>
      </c>
      <c r="AF230" s="11" t="s">
        <v>1969</v>
      </c>
      <c r="AG230" s="18">
        <v>46283.724756944444</v>
      </c>
      <c r="AH230" s="18">
        <v>46283.72476851852</v>
      </c>
      <c r="AI230" s="11"/>
      <c r="AJ230" s="11"/>
      <c r="AK230" s="11">
        <v>18253.0</v>
      </c>
      <c r="AL230" s="21" t="s">
        <v>1423</v>
      </c>
      <c r="AM230" s="16"/>
      <c r="AN230" s="16"/>
      <c r="AO230" s="23" t="s">
        <v>1970</v>
      </c>
      <c r="AP230" s="16" t="s">
        <v>76</v>
      </c>
      <c r="AQ230" s="16">
        <v>4139.0</v>
      </c>
      <c r="AR230" s="16"/>
      <c r="AS230" s="11" t="s">
        <v>1718</v>
      </c>
      <c r="AT230" s="11" t="s">
        <v>690</v>
      </c>
      <c r="AU230" s="11" t="s">
        <v>1964</v>
      </c>
      <c r="AV230" s="11">
        <v>5.2073632E7</v>
      </c>
      <c r="AW230" s="11" t="s">
        <v>99</v>
      </c>
      <c r="AX230" s="11">
        <v>3.413652026E9</v>
      </c>
      <c r="AY230" s="11" t="s">
        <v>1967</v>
      </c>
      <c r="AZ230" s="24">
        <v>40882.0</v>
      </c>
      <c r="BA230" s="11" t="s">
        <v>80</v>
      </c>
      <c r="BB230" s="11" t="s">
        <v>1118</v>
      </c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</row>
    <row r="231" ht="19.5" customHeight="1">
      <c r="A231" s="10" t="b">
        <v>0</v>
      </c>
      <c r="B231" s="11"/>
      <c r="C231" s="13" t="s">
        <v>59</v>
      </c>
      <c r="D231" s="14" t="s">
        <v>60</v>
      </c>
      <c r="E231" s="11"/>
      <c r="F231" s="15" t="s">
        <v>4</v>
      </c>
      <c r="G231" s="16">
        <v>168.0</v>
      </c>
      <c r="H231" s="16"/>
      <c r="I231" s="16">
        <v>46879.0</v>
      </c>
      <c r="J231" s="11" t="s">
        <v>61</v>
      </c>
      <c r="K231" s="11" t="s">
        <v>62</v>
      </c>
      <c r="L231" s="18">
        <v>46283.64372685185</v>
      </c>
      <c r="M231" s="18">
        <v>46283.643796296295</v>
      </c>
      <c r="N231" s="11" t="s">
        <v>63</v>
      </c>
      <c r="O231" s="11">
        <v>0.0</v>
      </c>
      <c r="P231" s="11" t="s">
        <v>727</v>
      </c>
      <c r="Q231" s="11" t="s">
        <v>1971</v>
      </c>
      <c r="R231" s="11"/>
      <c r="S231" s="11" t="s">
        <v>1972</v>
      </c>
      <c r="T231" s="11"/>
      <c r="U231" s="11" t="s">
        <v>428</v>
      </c>
      <c r="V231" s="11" t="s">
        <v>68</v>
      </c>
      <c r="W231" s="11">
        <v>1900.0</v>
      </c>
      <c r="X231" s="11" t="s">
        <v>69</v>
      </c>
      <c r="Y231" s="11" t="s">
        <v>1973</v>
      </c>
      <c r="Z231" s="11">
        <v>5.42214196396E11</v>
      </c>
      <c r="AA231" s="11" t="s">
        <v>71</v>
      </c>
      <c r="AB231" s="11"/>
      <c r="AC231" s="11"/>
      <c r="AD231" s="11"/>
      <c r="AE231" s="11" t="s">
        <v>1974</v>
      </c>
      <c r="AF231" s="11" t="s">
        <v>1975</v>
      </c>
      <c r="AG231" s="18">
        <v>46283.76872685185</v>
      </c>
      <c r="AH231" s="18">
        <v>46283.768796296295</v>
      </c>
      <c r="AI231" s="11"/>
      <c r="AJ231" s="11"/>
      <c r="AK231" s="11">
        <v>18253.0</v>
      </c>
      <c r="AL231" s="21" t="s">
        <v>1423</v>
      </c>
      <c r="AM231" s="16"/>
      <c r="AN231" s="16"/>
      <c r="AO231" s="23"/>
      <c r="AP231" s="16" t="s">
        <v>76</v>
      </c>
      <c r="AQ231" s="16">
        <v>3070.0</v>
      </c>
      <c r="AR231" s="16"/>
      <c r="AS231" s="11" t="s">
        <v>433</v>
      </c>
      <c r="AT231" s="11" t="s">
        <v>1976</v>
      </c>
      <c r="AU231" s="11" t="s">
        <v>1977</v>
      </c>
      <c r="AV231" s="11">
        <v>5.3053219E7</v>
      </c>
      <c r="AW231" s="11" t="s">
        <v>99</v>
      </c>
      <c r="AX231" s="11">
        <v>2.214196396E9</v>
      </c>
      <c r="AY231" s="11" t="s">
        <v>1973</v>
      </c>
      <c r="AZ231" s="24">
        <v>41369.0</v>
      </c>
      <c r="BA231" s="11" t="s">
        <v>436</v>
      </c>
      <c r="BB231" s="11" t="s">
        <v>101</v>
      </c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</row>
    <row r="232" ht="19.5" customHeight="1">
      <c r="A232" s="10" t="b">
        <v>0</v>
      </c>
      <c r="B232" s="11"/>
      <c r="C232" s="13" t="s">
        <v>59</v>
      </c>
      <c r="D232" s="14" t="s">
        <v>60</v>
      </c>
      <c r="E232" s="11"/>
      <c r="F232" s="15" t="s">
        <v>4</v>
      </c>
      <c r="G232" s="16">
        <v>173.0</v>
      </c>
      <c r="H232" s="16"/>
      <c r="I232" s="16">
        <v>46884.0</v>
      </c>
      <c r="J232" s="11" t="s">
        <v>61</v>
      </c>
      <c r="K232" s="11" t="s">
        <v>62</v>
      </c>
      <c r="L232" s="18">
        <v>46283.700150462966</v>
      </c>
      <c r="M232" s="18">
        <v>46283.70019675926</v>
      </c>
      <c r="N232" s="11" t="s">
        <v>63</v>
      </c>
      <c r="O232" s="11">
        <v>0.0</v>
      </c>
      <c r="P232" s="11" t="s">
        <v>1978</v>
      </c>
      <c r="Q232" s="11" t="s">
        <v>1979</v>
      </c>
      <c r="R232" s="11"/>
      <c r="S232" s="11" t="s">
        <v>1980</v>
      </c>
      <c r="T232" s="11"/>
      <c r="U232" s="11" t="s">
        <v>158</v>
      </c>
      <c r="V232" s="11" t="s">
        <v>68</v>
      </c>
      <c r="W232" s="11">
        <v>1707.0</v>
      </c>
      <c r="X232" s="11" t="s">
        <v>69</v>
      </c>
      <c r="Y232" s="11" t="s">
        <v>1981</v>
      </c>
      <c r="Z232" s="11">
        <v>1.159763843E9</v>
      </c>
      <c r="AA232" s="11" t="s">
        <v>71</v>
      </c>
      <c r="AB232" s="11"/>
      <c r="AC232" s="11"/>
      <c r="AD232" s="18">
        <v>46283.70019675926</v>
      </c>
      <c r="AE232" s="11" t="s">
        <v>1982</v>
      </c>
      <c r="AF232" s="11" t="s">
        <v>1983</v>
      </c>
      <c r="AG232" s="18">
        <v>46283.825150462966</v>
      </c>
      <c r="AH232" s="18">
        <v>46283.82519675926</v>
      </c>
      <c r="AI232" s="11"/>
      <c r="AJ232" s="18">
        <v>46283.82519675926</v>
      </c>
      <c r="AK232" s="11">
        <v>18253.0</v>
      </c>
      <c r="AL232" s="21" t="s">
        <v>1423</v>
      </c>
      <c r="AM232" s="16"/>
      <c r="AN232" s="16"/>
      <c r="AO232" s="23" t="s">
        <v>1984</v>
      </c>
      <c r="AP232" s="16" t="s">
        <v>76</v>
      </c>
      <c r="AQ232" s="16">
        <v>4047.0</v>
      </c>
      <c r="AR232" s="16"/>
      <c r="AS232" s="11" t="s">
        <v>269</v>
      </c>
      <c r="AT232" s="11" t="s">
        <v>982</v>
      </c>
      <c r="AU232" s="11" t="s">
        <v>1985</v>
      </c>
      <c r="AV232" s="11">
        <v>5.1157369E7</v>
      </c>
      <c r="AW232" s="11" t="s">
        <v>99</v>
      </c>
      <c r="AX232" s="11">
        <v>1.159763843E9</v>
      </c>
      <c r="AY232" s="11" t="s">
        <v>1981</v>
      </c>
      <c r="AZ232" s="24">
        <v>40725.0</v>
      </c>
      <c r="BA232" s="11" t="s">
        <v>1986</v>
      </c>
      <c r="BB232" s="11" t="s">
        <v>81</v>
      </c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</row>
    <row r="233" ht="19.5" customHeight="1">
      <c r="A233" s="10" t="b">
        <v>0</v>
      </c>
      <c r="B233" s="11"/>
      <c r="C233" s="13" t="s">
        <v>59</v>
      </c>
      <c r="D233" s="14" t="s">
        <v>60</v>
      </c>
      <c r="E233" s="11"/>
      <c r="F233" s="15" t="s">
        <v>4</v>
      </c>
      <c r="G233" s="16">
        <v>174.0</v>
      </c>
      <c r="H233" s="16"/>
      <c r="I233" s="16">
        <v>46885.0</v>
      </c>
      <c r="J233" s="11" t="s">
        <v>61</v>
      </c>
      <c r="K233" s="11" t="s">
        <v>62</v>
      </c>
      <c r="L233" s="18">
        <v>46283.702731481484</v>
      </c>
      <c r="M233" s="18">
        <v>46283.70278935185</v>
      </c>
      <c r="N233" s="11" t="s">
        <v>63</v>
      </c>
      <c r="O233" s="11">
        <v>0.0</v>
      </c>
      <c r="P233" s="11" t="s">
        <v>1978</v>
      </c>
      <c r="Q233" s="11" t="s">
        <v>1979</v>
      </c>
      <c r="R233" s="11"/>
      <c r="S233" s="11" t="s">
        <v>1980</v>
      </c>
      <c r="T233" s="11"/>
      <c r="U233" s="11" t="s">
        <v>158</v>
      </c>
      <c r="V233" s="11" t="s">
        <v>68</v>
      </c>
      <c r="W233" s="11">
        <v>1707.0</v>
      </c>
      <c r="X233" s="11" t="s">
        <v>69</v>
      </c>
      <c r="Y233" s="11" t="s">
        <v>1981</v>
      </c>
      <c r="Z233" s="11">
        <v>1.159763843E9</v>
      </c>
      <c r="AA233" s="11" t="s">
        <v>71</v>
      </c>
      <c r="AB233" s="11"/>
      <c r="AC233" s="11"/>
      <c r="AD233" s="18">
        <v>46283.70278935185</v>
      </c>
      <c r="AE233" s="11" t="s">
        <v>1987</v>
      </c>
      <c r="AF233" s="11" t="s">
        <v>1988</v>
      </c>
      <c r="AG233" s="18">
        <v>46283.827731481484</v>
      </c>
      <c r="AH233" s="18">
        <v>46283.82778935185</v>
      </c>
      <c r="AI233" s="11"/>
      <c r="AJ233" s="18">
        <v>46283.82778935185</v>
      </c>
      <c r="AK233" s="11">
        <v>18253.0</v>
      </c>
      <c r="AL233" s="21" t="s">
        <v>1423</v>
      </c>
      <c r="AM233" s="16"/>
      <c r="AN233" s="16"/>
      <c r="AO233" s="23" t="s">
        <v>1989</v>
      </c>
      <c r="AP233" s="16" t="s">
        <v>76</v>
      </c>
      <c r="AQ233" s="16">
        <v>4166.0</v>
      </c>
      <c r="AR233" s="16"/>
      <c r="AS233" s="11" t="s">
        <v>269</v>
      </c>
      <c r="AT233" s="11" t="s">
        <v>1990</v>
      </c>
      <c r="AU233" s="11" t="s">
        <v>1985</v>
      </c>
      <c r="AV233" s="11">
        <v>5.4055585E7</v>
      </c>
      <c r="AW233" s="11" t="s">
        <v>99</v>
      </c>
      <c r="AX233" s="11">
        <v>1.159763843E9</v>
      </c>
      <c r="AY233" s="11" t="s">
        <v>1981</v>
      </c>
      <c r="AZ233" s="24">
        <v>41801.0</v>
      </c>
      <c r="BA233" s="11" t="s">
        <v>1986</v>
      </c>
      <c r="BB233" s="11" t="s">
        <v>101</v>
      </c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</row>
    <row r="234" ht="19.5" customHeight="1">
      <c r="A234" s="10" t="b">
        <v>0</v>
      </c>
      <c r="B234" s="11"/>
      <c r="C234" s="13" t="s">
        <v>59</v>
      </c>
      <c r="D234" s="14" t="s">
        <v>60</v>
      </c>
      <c r="E234" s="11"/>
      <c r="F234" s="15" t="s">
        <v>4</v>
      </c>
      <c r="G234" s="16">
        <v>178.0</v>
      </c>
      <c r="H234" s="16"/>
      <c r="I234" s="16">
        <v>46889.0</v>
      </c>
      <c r="J234" s="11" t="s">
        <v>61</v>
      </c>
      <c r="K234" s="11" t="s">
        <v>62</v>
      </c>
      <c r="L234" s="18">
        <v>46283.742418981485</v>
      </c>
      <c r="M234" s="18">
        <v>46283.742476851854</v>
      </c>
      <c r="N234" s="11" t="s">
        <v>63</v>
      </c>
      <c r="O234" s="11">
        <v>0.0</v>
      </c>
      <c r="P234" s="11" t="s">
        <v>1991</v>
      </c>
      <c r="Q234" s="11" t="s">
        <v>1992</v>
      </c>
      <c r="R234" s="11"/>
      <c r="S234" s="11" t="s">
        <v>1993</v>
      </c>
      <c r="T234" s="11">
        <v>816.0</v>
      </c>
      <c r="U234" s="11" t="s">
        <v>316</v>
      </c>
      <c r="V234" s="11" t="s">
        <v>68</v>
      </c>
      <c r="W234" s="11">
        <v>2800.0</v>
      </c>
      <c r="X234" s="11" t="s">
        <v>69</v>
      </c>
      <c r="Y234" s="11" t="s">
        <v>1994</v>
      </c>
      <c r="Z234" s="11">
        <v>1.11569565152E11</v>
      </c>
      <c r="AA234" s="11" t="s">
        <v>71</v>
      </c>
      <c r="AB234" s="11"/>
      <c r="AC234" s="11"/>
      <c r="AD234" s="18">
        <v>46283.742476851854</v>
      </c>
      <c r="AE234" s="11" t="s">
        <v>1995</v>
      </c>
      <c r="AF234" s="11" t="s">
        <v>1996</v>
      </c>
      <c r="AG234" s="18">
        <v>46283.867418981485</v>
      </c>
      <c r="AH234" s="18">
        <v>46283.867476851854</v>
      </c>
      <c r="AI234" s="11"/>
      <c r="AJ234" s="18">
        <v>46283.867476851854</v>
      </c>
      <c r="AK234" s="11">
        <v>18253.0</v>
      </c>
      <c r="AL234" s="21" t="s">
        <v>1423</v>
      </c>
      <c r="AM234" s="16"/>
      <c r="AN234" s="14" t="s">
        <v>39</v>
      </c>
      <c r="AO234" s="23" t="s">
        <v>1997</v>
      </c>
      <c r="AP234" s="16" t="s">
        <v>76</v>
      </c>
      <c r="AQ234" s="16">
        <v>4249.0</v>
      </c>
      <c r="AR234" s="16"/>
      <c r="AS234" s="11" t="s">
        <v>321</v>
      </c>
      <c r="AT234" s="11" t="s">
        <v>1277</v>
      </c>
      <c r="AU234" s="11" t="s">
        <v>1998</v>
      </c>
      <c r="AV234" s="11">
        <v>5.1339874E7</v>
      </c>
      <c r="AW234" s="11" t="s">
        <v>79</v>
      </c>
      <c r="AX234" s="11">
        <v>1.11569565152E11</v>
      </c>
      <c r="AY234" s="11" t="s">
        <v>1994</v>
      </c>
      <c r="AZ234" s="24">
        <v>40845.0</v>
      </c>
      <c r="BA234" s="11" t="s">
        <v>144</v>
      </c>
      <c r="BB234" s="11" t="s">
        <v>101</v>
      </c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</row>
    <row r="235" ht="19.5" customHeight="1">
      <c r="A235" s="10" t="b">
        <v>0</v>
      </c>
      <c r="B235" s="11"/>
      <c r="C235" s="13" t="s">
        <v>59</v>
      </c>
      <c r="D235" s="14" t="s">
        <v>60</v>
      </c>
      <c r="E235" s="11"/>
      <c r="F235" s="15" t="s">
        <v>4</v>
      </c>
      <c r="G235" s="16">
        <v>180.0</v>
      </c>
      <c r="H235" s="16"/>
      <c r="I235" s="16">
        <v>46891.0</v>
      </c>
      <c r="J235" s="11" t="s">
        <v>61</v>
      </c>
      <c r="K235" s="11" t="s">
        <v>62</v>
      </c>
      <c r="L235" s="18">
        <v>46283.79240740741</v>
      </c>
      <c r="M235" s="18">
        <v>46283.79240740741</v>
      </c>
      <c r="N235" s="11" t="s">
        <v>63</v>
      </c>
      <c r="O235" s="11">
        <v>0.0</v>
      </c>
      <c r="P235" s="11" t="s">
        <v>1999</v>
      </c>
      <c r="Q235" s="11" t="s">
        <v>2000</v>
      </c>
      <c r="R235" s="11"/>
      <c r="S235" s="11" t="s">
        <v>2001</v>
      </c>
      <c r="T235" s="11"/>
      <c r="U235" s="11" t="s">
        <v>493</v>
      </c>
      <c r="V235" s="11" t="s">
        <v>68</v>
      </c>
      <c r="W235" s="11">
        <v>1642.0</v>
      </c>
      <c r="X235" s="11" t="s">
        <v>69</v>
      </c>
      <c r="Y235" s="11" t="s">
        <v>2002</v>
      </c>
      <c r="Z235" s="11">
        <v>1.160151345E9</v>
      </c>
      <c r="AA235" s="11" t="s">
        <v>645</v>
      </c>
      <c r="AB235" s="11"/>
      <c r="AC235" s="11"/>
      <c r="AD235" s="11"/>
      <c r="AE235" s="11" t="s">
        <v>2003</v>
      </c>
      <c r="AF235" s="11" t="s">
        <v>2004</v>
      </c>
      <c r="AG235" s="18">
        <v>46283.91740740741</v>
      </c>
      <c r="AH235" s="18">
        <v>46283.91740740741</v>
      </c>
      <c r="AI235" s="11"/>
      <c r="AJ235" s="11"/>
      <c r="AK235" s="11">
        <v>18253.0</v>
      </c>
      <c r="AL235" s="21" t="s">
        <v>1423</v>
      </c>
      <c r="AM235" s="16"/>
      <c r="AN235" s="16"/>
      <c r="AO235" s="23"/>
      <c r="AP235" s="16" t="s">
        <v>76</v>
      </c>
      <c r="AQ235" s="16">
        <v>4054.0</v>
      </c>
      <c r="AR235" s="16"/>
      <c r="AS235" s="11" t="s">
        <v>269</v>
      </c>
      <c r="AT235" s="11" t="s">
        <v>1857</v>
      </c>
      <c r="AU235" s="11" t="s">
        <v>2000</v>
      </c>
      <c r="AV235" s="11">
        <v>5.3285019E7</v>
      </c>
      <c r="AW235" s="11" t="s">
        <v>99</v>
      </c>
      <c r="AX235" s="11">
        <v>1.13368816E9</v>
      </c>
      <c r="AY235" s="11" t="s">
        <v>2005</v>
      </c>
      <c r="AZ235" s="24">
        <v>41412.0</v>
      </c>
      <c r="BA235" s="11" t="s">
        <v>1526</v>
      </c>
      <c r="BB235" s="11" t="s">
        <v>81</v>
      </c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</row>
    <row r="236" ht="19.5" customHeight="1">
      <c r="A236" s="10" t="b">
        <v>0</v>
      </c>
      <c r="B236" s="11"/>
      <c r="C236" s="13" t="s">
        <v>60</v>
      </c>
      <c r="D236" s="14" t="s">
        <v>60</v>
      </c>
      <c r="E236" s="11"/>
      <c r="F236" s="15" t="s">
        <v>4</v>
      </c>
      <c r="G236" s="16">
        <v>190.0</v>
      </c>
      <c r="H236" s="16"/>
      <c r="I236" s="16">
        <v>46901.0</v>
      </c>
      <c r="J236" s="11" t="s">
        <v>402</v>
      </c>
      <c r="K236" s="11" t="s">
        <v>62</v>
      </c>
      <c r="L236" s="18">
        <v>46284.31454861111</v>
      </c>
      <c r="M236" s="18">
        <v>46284.31454861111</v>
      </c>
      <c r="N236" s="11" t="s">
        <v>63</v>
      </c>
      <c r="O236" s="11">
        <v>0.0</v>
      </c>
      <c r="P236" s="11" t="s">
        <v>243</v>
      </c>
      <c r="Q236" s="11" t="s">
        <v>2006</v>
      </c>
      <c r="R236" s="11"/>
      <c r="S236" s="11" t="s">
        <v>2007</v>
      </c>
      <c r="T236" s="11" t="s">
        <v>2008</v>
      </c>
      <c r="U236" s="11" t="s">
        <v>276</v>
      </c>
      <c r="V236" s="11" t="s">
        <v>126</v>
      </c>
      <c r="W236" s="11">
        <v>1425.0</v>
      </c>
      <c r="X236" s="11" t="s">
        <v>69</v>
      </c>
      <c r="Y236" s="11" t="s">
        <v>2009</v>
      </c>
      <c r="Z236" s="11">
        <v>1.159374784E9</v>
      </c>
      <c r="AA236" s="11" t="s">
        <v>71</v>
      </c>
      <c r="AB236" s="11"/>
      <c r="AC236" s="11"/>
      <c r="AD236" s="11"/>
      <c r="AE236" s="11" t="s">
        <v>408</v>
      </c>
      <c r="AF236" s="11" t="s">
        <v>2010</v>
      </c>
      <c r="AG236" s="18">
        <v>46284.43954861111</v>
      </c>
      <c r="AH236" s="18">
        <v>46284.43954861111</v>
      </c>
      <c r="AI236" s="11"/>
      <c r="AJ236" s="11"/>
      <c r="AK236" s="11">
        <v>18253.0</v>
      </c>
      <c r="AL236" s="21" t="s">
        <v>1423</v>
      </c>
      <c r="AM236" s="16"/>
      <c r="AN236" s="16"/>
      <c r="AO236" s="23" t="s">
        <v>2011</v>
      </c>
      <c r="AP236" s="16" t="s">
        <v>76</v>
      </c>
      <c r="AQ236" s="16">
        <v>3199.0</v>
      </c>
      <c r="AR236" s="16"/>
      <c r="AS236" s="11" t="s">
        <v>110</v>
      </c>
      <c r="AT236" s="11" t="s">
        <v>927</v>
      </c>
      <c r="AU236" s="11" t="s">
        <v>2006</v>
      </c>
      <c r="AV236" s="11">
        <v>5.4454746E7</v>
      </c>
      <c r="AW236" s="11" t="s">
        <v>99</v>
      </c>
      <c r="AX236" s="11">
        <v>1.124656467E9</v>
      </c>
      <c r="AY236" s="11" t="s">
        <v>2012</v>
      </c>
      <c r="AZ236" s="24">
        <v>41974.0</v>
      </c>
      <c r="BA236" s="11" t="s">
        <v>100</v>
      </c>
      <c r="BB236" s="11" t="s">
        <v>101</v>
      </c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</row>
    <row r="237" ht="19.5" customHeight="1">
      <c r="A237" s="10" t="b">
        <v>0</v>
      </c>
      <c r="B237" s="11"/>
      <c r="C237" s="13" t="s">
        <v>60</v>
      </c>
      <c r="D237" s="14" t="s">
        <v>60</v>
      </c>
      <c r="E237" s="11"/>
      <c r="F237" s="15" t="s">
        <v>4</v>
      </c>
      <c r="G237" s="16">
        <v>191.0</v>
      </c>
      <c r="H237" s="16"/>
      <c r="I237" s="16">
        <v>46902.0</v>
      </c>
      <c r="J237" s="11" t="s">
        <v>61</v>
      </c>
      <c r="K237" s="11" t="s">
        <v>62</v>
      </c>
      <c r="L237" s="18">
        <v>46284.3608912037</v>
      </c>
      <c r="M237" s="18">
        <v>46284.36094907407</v>
      </c>
      <c r="N237" s="11" t="s">
        <v>63</v>
      </c>
      <c r="O237" s="11">
        <v>0.0</v>
      </c>
      <c r="P237" s="11" t="s">
        <v>2013</v>
      </c>
      <c r="Q237" s="11" t="s">
        <v>2014</v>
      </c>
      <c r="R237" s="11"/>
      <c r="S237" s="11" t="s">
        <v>2015</v>
      </c>
      <c r="T237" s="11">
        <v>499.0</v>
      </c>
      <c r="U237" s="11" t="s">
        <v>890</v>
      </c>
      <c r="V237" s="11" t="s">
        <v>126</v>
      </c>
      <c r="W237" s="11" t="s">
        <v>2016</v>
      </c>
      <c r="X237" s="11" t="s">
        <v>69</v>
      </c>
      <c r="Y237" s="11" t="s">
        <v>2017</v>
      </c>
      <c r="Z237" s="11">
        <v>5.4911682158E10</v>
      </c>
      <c r="AA237" s="11" t="s">
        <v>71</v>
      </c>
      <c r="AB237" s="11"/>
      <c r="AC237" s="11"/>
      <c r="AD237" s="11"/>
      <c r="AE237" s="11" t="s">
        <v>2018</v>
      </c>
      <c r="AF237" s="11" t="s">
        <v>2019</v>
      </c>
      <c r="AG237" s="18">
        <v>46284.4858912037</v>
      </c>
      <c r="AH237" s="18">
        <v>46284.48594907407</v>
      </c>
      <c r="AI237" s="11"/>
      <c r="AJ237" s="11"/>
      <c r="AK237" s="11">
        <v>18253.0</v>
      </c>
      <c r="AL237" s="21" t="s">
        <v>1423</v>
      </c>
      <c r="AM237" s="16"/>
      <c r="AN237" s="16"/>
      <c r="AO237" s="23"/>
      <c r="AP237" s="16" t="s">
        <v>76</v>
      </c>
      <c r="AQ237" s="16">
        <v>4286.0</v>
      </c>
      <c r="AR237" s="16"/>
      <c r="AS237" s="10" t="s">
        <v>1467</v>
      </c>
      <c r="AT237" s="11" t="s">
        <v>536</v>
      </c>
      <c r="AU237" s="11" t="s">
        <v>2020</v>
      </c>
      <c r="AV237" s="11">
        <v>5.1432202E7</v>
      </c>
      <c r="AW237" s="11" t="s">
        <v>99</v>
      </c>
      <c r="AX237" s="11">
        <v>5.491168572158E12</v>
      </c>
      <c r="AY237" s="11" t="s">
        <v>2017</v>
      </c>
      <c r="AZ237" s="24">
        <v>40811.0</v>
      </c>
      <c r="BA237" s="11" t="s">
        <v>144</v>
      </c>
      <c r="BB237" s="11" t="s">
        <v>81</v>
      </c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</row>
    <row r="238" ht="19.5" customHeight="1">
      <c r="A238" s="10" t="b">
        <v>0</v>
      </c>
      <c r="B238" s="11"/>
      <c r="C238" s="13" t="s">
        <v>60</v>
      </c>
      <c r="D238" s="14" t="s">
        <v>60</v>
      </c>
      <c r="E238" s="11"/>
      <c r="F238" s="15" t="s">
        <v>4</v>
      </c>
      <c r="G238" s="16">
        <v>193.0</v>
      </c>
      <c r="H238" s="16"/>
      <c r="I238" s="16">
        <v>46904.0</v>
      </c>
      <c r="J238" s="11" t="s">
        <v>61</v>
      </c>
      <c r="K238" s="11" t="s">
        <v>62</v>
      </c>
      <c r="L238" s="18">
        <v>46284.42863425926</v>
      </c>
      <c r="M238" s="18">
        <v>46284.42868055555</v>
      </c>
      <c r="N238" s="11" t="s">
        <v>63</v>
      </c>
      <c r="O238" s="11">
        <v>0.0</v>
      </c>
      <c r="P238" s="11" t="s">
        <v>490</v>
      </c>
      <c r="Q238" s="11" t="s">
        <v>491</v>
      </c>
      <c r="R238" s="11"/>
      <c r="S238" s="11" t="s">
        <v>492</v>
      </c>
      <c r="T238" s="11"/>
      <c r="U238" s="11" t="s">
        <v>493</v>
      </c>
      <c r="V238" s="11" t="s">
        <v>68</v>
      </c>
      <c r="W238" s="11">
        <v>1643.0</v>
      </c>
      <c r="X238" s="11" t="s">
        <v>69</v>
      </c>
      <c r="Y238" s="11" t="s">
        <v>494</v>
      </c>
      <c r="Z238" s="11">
        <v>5.411625941E11</v>
      </c>
      <c r="AA238" s="11" t="s">
        <v>71</v>
      </c>
      <c r="AB238" s="11"/>
      <c r="AC238" s="11"/>
      <c r="AD238" s="11"/>
      <c r="AE238" s="11" t="s">
        <v>2021</v>
      </c>
      <c r="AF238" s="11" t="s">
        <v>2022</v>
      </c>
      <c r="AG238" s="18">
        <v>46284.55363425926</v>
      </c>
      <c r="AH238" s="18">
        <v>46284.55368055555</v>
      </c>
      <c r="AI238" s="11"/>
      <c r="AJ238" s="11"/>
      <c r="AK238" s="11">
        <v>18253.0</v>
      </c>
      <c r="AL238" s="21" t="s">
        <v>1423</v>
      </c>
      <c r="AM238" s="16"/>
      <c r="AN238" s="16"/>
      <c r="AO238" s="23"/>
      <c r="AP238" s="16" t="s">
        <v>76</v>
      </c>
      <c r="AQ238" s="16">
        <v>4267.0</v>
      </c>
      <c r="AR238" s="16"/>
      <c r="AS238" s="11" t="s">
        <v>251</v>
      </c>
      <c r="AT238" s="11" t="s">
        <v>1186</v>
      </c>
      <c r="AU238" s="11" t="s">
        <v>491</v>
      </c>
      <c r="AV238" s="11">
        <v>5.405986E7</v>
      </c>
      <c r="AW238" s="11" t="s">
        <v>99</v>
      </c>
      <c r="AX238" s="11">
        <v>1.1625941E9</v>
      </c>
      <c r="AY238" s="11" t="s">
        <v>494</v>
      </c>
      <c r="AZ238" s="24">
        <v>41809.0</v>
      </c>
      <c r="BA238" s="11" t="s">
        <v>252</v>
      </c>
      <c r="BB238" s="11" t="s">
        <v>81</v>
      </c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</row>
    <row r="239" ht="19.5" customHeight="1">
      <c r="A239" s="10" t="b">
        <v>0</v>
      </c>
      <c r="B239" s="11"/>
      <c r="C239" s="13" t="s">
        <v>59</v>
      </c>
      <c r="D239" s="14" t="s">
        <v>60</v>
      </c>
      <c r="E239" s="11"/>
      <c r="F239" s="15" t="s">
        <v>4</v>
      </c>
      <c r="G239" s="16">
        <v>196.0</v>
      </c>
      <c r="H239" s="16"/>
      <c r="I239" s="16">
        <v>46907.0</v>
      </c>
      <c r="J239" s="11" t="s">
        <v>61</v>
      </c>
      <c r="K239" s="11" t="s">
        <v>62</v>
      </c>
      <c r="L239" s="18">
        <v>46284.458032407405</v>
      </c>
      <c r="M239" s="18">
        <v>46284.458078703705</v>
      </c>
      <c r="N239" s="11" t="s">
        <v>63</v>
      </c>
      <c r="O239" s="11">
        <v>0.0</v>
      </c>
      <c r="P239" s="11" t="s">
        <v>2023</v>
      </c>
      <c r="Q239" s="11" t="s">
        <v>155</v>
      </c>
      <c r="R239" s="11"/>
      <c r="S239" s="11" t="s">
        <v>2024</v>
      </c>
      <c r="T239" s="11"/>
      <c r="U239" s="11" t="s">
        <v>1520</v>
      </c>
      <c r="V239" s="11" t="s">
        <v>126</v>
      </c>
      <c r="W239" s="11">
        <v>1200.0</v>
      </c>
      <c r="X239" s="11" t="s">
        <v>69</v>
      </c>
      <c r="Y239" s="11" t="s">
        <v>2025</v>
      </c>
      <c r="Z239" s="11">
        <v>5.41144006748E11</v>
      </c>
      <c r="AA239" s="11" t="s">
        <v>71</v>
      </c>
      <c r="AB239" s="11"/>
      <c r="AC239" s="11"/>
      <c r="AD239" s="18">
        <v>46284.458078703705</v>
      </c>
      <c r="AE239" s="11" t="s">
        <v>2026</v>
      </c>
      <c r="AF239" s="11" t="s">
        <v>2027</v>
      </c>
      <c r="AG239" s="18">
        <v>46284.583032407405</v>
      </c>
      <c r="AH239" s="18">
        <v>46284.583078703705</v>
      </c>
      <c r="AI239" s="11"/>
      <c r="AJ239" s="18">
        <v>46284.583078703705</v>
      </c>
      <c r="AK239" s="11">
        <v>18253.0</v>
      </c>
      <c r="AL239" s="21" t="s">
        <v>1423</v>
      </c>
      <c r="AM239" s="16"/>
      <c r="AN239" s="14" t="s">
        <v>39</v>
      </c>
      <c r="AO239" s="23" t="s">
        <v>2028</v>
      </c>
      <c r="AP239" s="16" t="s">
        <v>76</v>
      </c>
      <c r="AQ239" s="16">
        <v>3633.0</v>
      </c>
      <c r="AR239" s="16"/>
      <c r="AS239" s="11" t="s">
        <v>298</v>
      </c>
      <c r="AT239" s="11" t="s">
        <v>198</v>
      </c>
      <c r="AU239" s="11" t="s">
        <v>2029</v>
      </c>
      <c r="AV239" s="11">
        <v>5.3856601E7</v>
      </c>
      <c r="AW239" s="11" t="s">
        <v>79</v>
      </c>
      <c r="AX239" s="11">
        <v>1.144006748E9</v>
      </c>
      <c r="AY239" s="11" t="s">
        <v>2025</v>
      </c>
      <c r="AZ239" s="24">
        <v>41714.0</v>
      </c>
      <c r="BA239" s="11" t="s">
        <v>252</v>
      </c>
      <c r="BB239" s="11" t="s">
        <v>81</v>
      </c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</row>
    <row r="240" ht="19.5" customHeight="1">
      <c r="A240" s="10" t="b">
        <v>0</v>
      </c>
      <c r="B240" s="11"/>
      <c r="C240" s="13" t="s">
        <v>59</v>
      </c>
      <c r="D240" s="14" t="s">
        <v>60</v>
      </c>
      <c r="E240" s="11"/>
      <c r="F240" s="15" t="s">
        <v>4</v>
      </c>
      <c r="G240" s="16">
        <v>197.0</v>
      </c>
      <c r="H240" s="16"/>
      <c r="I240" s="16">
        <v>46908.0</v>
      </c>
      <c r="J240" s="11" t="s">
        <v>61</v>
      </c>
      <c r="K240" s="11" t="s">
        <v>62</v>
      </c>
      <c r="L240" s="18">
        <v>46284.47577546296</v>
      </c>
      <c r="M240" s="18">
        <v>46284.47584490741</v>
      </c>
      <c r="N240" s="11" t="s">
        <v>63</v>
      </c>
      <c r="O240" s="11">
        <v>0.0</v>
      </c>
      <c r="P240" s="11" t="s">
        <v>2030</v>
      </c>
      <c r="Q240" s="11" t="s">
        <v>2031</v>
      </c>
      <c r="R240" s="11"/>
      <c r="S240" s="11" t="s">
        <v>2032</v>
      </c>
      <c r="T240" s="11"/>
      <c r="U240" s="11" t="s">
        <v>276</v>
      </c>
      <c r="V240" s="11" t="s">
        <v>126</v>
      </c>
      <c r="W240" s="11">
        <v>1417.0</v>
      </c>
      <c r="X240" s="11" t="s">
        <v>69</v>
      </c>
      <c r="Y240" s="11" t="s">
        <v>2033</v>
      </c>
      <c r="Z240" s="11">
        <v>5.491154284469E12</v>
      </c>
      <c r="AA240" s="11" t="s">
        <v>71</v>
      </c>
      <c r="AB240" s="11"/>
      <c r="AC240" s="11"/>
      <c r="AD240" s="18">
        <v>46284.47584490741</v>
      </c>
      <c r="AE240" s="11" t="s">
        <v>2034</v>
      </c>
      <c r="AF240" s="11" t="s">
        <v>2035</v>
      </c>
      <c r="AG240" s="18">
        <v>46284.60077546296</v>
      </c>
      <c r="AH240" s="18">
        <v>46284.60084490741</v>
      </c>
      <c r="AI240" s="11"/>
      <c r="AJ240" s="18">
        <v>46284.60084490741</v>
      </c>
      <c r="AK240" s="11">
        <v>18253.0</v>
      </c>
      <c r="AL240" s="21" t="s">
        <v>1423</v>
      </c>
      <c r="AM240" s="16"/>
      <c r="AN240" s="14" t="s">
        <v>39</v>
      </c>
      <c r="AO240" s="23"/>
      <c r="AP240" s="16" t="s">
        <v>76</v>
      </c>
      <c r="AQ240" s="16">
        <v>4261.0</v>
      </c>
      <c r="AR240" s="16"/>
      <c r="AS240" s="11" t="s">
        <v>668</v>
      </c>
      <c r="AT240" s="11" t="s">
        <v>2036</v>
      </c>
      <c r="AU240" s="11" t="s">
        <v>2037</v>
      </c>
      <c r="AV240" s="11">
        <v>5.276242E7</v>
      </c>
      <c r="AW240" s="11" t="s">
        <v>79</v>
      </c>
      <c r="AX240" s="11">
        <v>1.161298429E9</v>
      </c>
      <c r="AY240" s="11" t="s">
        <v>2038</v>
      </c>
      <c r="AZ240" s="24">
        <v>41207.0</v>
      </c>
      <c r="BA240" s="11" t="s">
        <v>121</v>
      </c>
      <c r="BB240" s="11" t="s">
        <v>81</v>
      </c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</row>
    <row r="241" ht="19.5" customHeight="1">
      <c r="A241" s="10" t="b">
        <v>0</v>
      </c>
      <c r="B241" s="11"/>
      <c r="C241" s="13" t="s">
        <v>59</v>
      </c>
      <c r="D241" s="14" t="s">
        <v>60</v>
      </c>
      <c r="E241" s="11"/>
      <c r="F241" s="15" t="s">
        <v>4</v>
      </c>
      <c r="G241" s="16">
        <v>198.0</v>
      </c>
      <c r="H241" s="16"/>
      <c r="I241" s="16">
        <v>46909.0</v>
      </c>
      <c r="J241" s="11" t="s">
        <v>302</v>
      </c>
      <c r="K241" s="11" t="s">
        <v>62</v>
      </c>
      <c r="L241" s="18">
        <v>46284.515173611115</v>
      </c>
      <c r="M241" s="18">
        <v>46284.515231481484</v>
      </c>
      <c r="N241" s="11" t="s">
        <v>63</v>
      </c>
      <c r="O241" s="11">
        <v>0.0</v>
      </c>
      <c r="P241" s="11" t="s">
        <v>2039</v>
      </c>
      <c r="Q241" s="11" t="s">
        <v>2040</v>
      </c>
      <c r="R241" s="11"/>
      <c r="S241" s="11" t="s">
        <v>2041</v>
      </c>
      <c r="T241" s="11"/>
      <c r="U241" s="11" t="s">
        <v>142</v>
      </c>
      <c r="V241" s="11" t="s">
        <v>1147</v>
      </c>
      <c r="W241" s="11">
        <v>3100.0</v>
      </c>
      <c r="X241" s="11" t="s">
        <v>69</v>
      </c>
      <c r="Y241" s="11" t="s">
        <v>2042</v>
      </c>
      <c r="Z241" s="11">
        <v>5.43434468375E11</v>
      </c>
      <c r="AA241" s="11" t="s">
        <v>71</v>
      </c>
      <c r="AB241" s="11"/>
      <c r="AC241" s="11"/>
      <c r="AD241" s="11"/>
      <c r="AE241" s="11" t="s">
        <v>2043</v>
      </c>
      <c r="AF241" s="11" t="s">
        <v>2044</v>
      </c>
      <c r="AG241" s="18">
        <v>46284.640173611115</v>
      </c>
      <c r="AH241" s="18">
        <v>46284.640231481484</v>
      </c>
      <c r="AI241" s="11"/>
      <c r="AJ241" s="11"/>
      <c r="AK241" s="11">
        <v>18253.0</v>
      </c>
      <c r="AL241" s="21" t="s">
        <v>1423</v>
      </c>
      <c r="AM241" s="16"/>
      <c r="AN241" s="14" t="s">
        <v>39</v>
      </c>
      <c r="AO241" s="23" t="s">
        <v>2045</v>
      </c>
      <c r="AP241" s="16" t="s">
        <v>76</v>
      </c>
      <c r="AQ241" s="16">
        <v>4055.0</v>
      </c>
      <c r="AR241" s="16"/>
      <c r="AS241" s="11" t="s">
        <v>648</v>
      </c>
      <c r="AT241" s="11" t="s">
        <v>2039</v>
      </c>
      <c r="AU241" s="11" t="s">
        <v>2040</v>
      </c>
      <c r="AV241" s="11">
        <v>5.347712E7</v>
      </c>
      <c r="AW241" s="11" t="s">
        <v>79</v>
      </c>
      <c r="AX241" s="11">
        <v>3.434468375E9</v>
      </c>
      <c r="AY241" s="11" t="s">
        <v>2046</v>
      </c>
      <c r="AZ241" s="24">
        <v>41519.0</v>
      </c>
      <c r="BA241" s="11" t="s">
        <v>2047</v>
      </c>
      <c r="BB241" s="11" t="s">
        <v>81</v>
      </c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</row>
    <row r="242" ht="19.5" customHeight="1">
      <c r="A242" s="10" t="b">
        <v>0</v>
      </c>
      <c r="B242" s="11"/>
      <c r="C242" s="13" t="s">
        <v>60</v>
      </c>
      <c r="D242" s="14" t="s">
        <v>60</v>
      </c>
      <c r="E242" s="11"/>
      <c r="F242" s="15" t="s">
        <v>4</v>
      </c>
      <c r="G242" s="16">
        <v>199.0</v>
      </c>
      <c r="H242" s="16"/>
      <c r="I242" s="16">
        <v>46910.0</v>
      </c>
      <c r="J242" s="11" t="s">
        <v>61</v>
      </c>
      <c r="K242" s="11" t="s">
        <v>62</v>
      </c>
      <c r="L242" s="18">
        <v>46284.51520833333</v>
      </c>
      <c r="M242" s="18">
        <v>46284.51525462963</v>
      </c>
      <c r="N242" s="11" t="s">
        <v>63</v>
      </c>
      <c r="O242" s="11">
        <v>0.0</v>
      </c>
      <c r="P242" s="11" t="s">
        <v>2048</v>
      </c>
      <c r="Q242" s="11" t="s">
        <v>2049</v>
      </c>
      <c r="R242" s="11"/>
      <c r="S242" s="11" t="s">
        <v>2050</v>
      </c>
      <c r="T242" s="11" t="s">
        <v>2051</v>
      </c>
      <c r="U242" s="11" t="s">
        <v>362</v>
      </c>
      <c r="V242" s="11" t="s">
        <v>68</v>
      </c>
      <c r="W242" s="11">
        <v>1424.0</v>
      </c>
      <c r="X242" s="11" t="s">
        <v>69</v>
      </c>
      <c r="Y242" s="11" t="s">
        <v>2052</v>
      </c>
      <c r="Z242" s="11">
        <v>1.140607992E9</v>
      </c>
      <c r="AA242" s="11" t="s">
        <v>71</v>
      </c>
      <c r="AB242" s="11"/>
      <c r="AC242" s="11"/>
      <c r="AD242" s="18">
        <v>46284.51525462963</v>
      </c>
      <c r="AE242" s="11" t="s">
        <v>2053</v>
      </c>
      <c r="AF242" s="11" t="s">
        <v>2054</v>
      </c>
      <c r="AG242" s="18">
        <v>46284.64020833333</v>
      </c>
      <c r="AH242" s="18">
        <v>46284.64025462963</v>
      </c>
      <c r="AI242" s="11"/>
      <c r="AJ242" s="18">
        <v>46284.64025462963</v>
      </c>
      <c r="AK242" s="11">
        <v>18253.0</v>
      </c>
      <c r="AL242" s="21" t="s">
        <v>1423</v>
      </c>
      <c r="AM242" s="16"/>
      <c r="AN242" s="14" t="s">
        <v>39</v>
      </c>
      <c r="AO242" s="23"/>
      <c r="AP242" s="16" t="s">
        <v>76</v>
      </c>
      <c r="AQ242" s="16">
        <v>4181.0</v>
      </c>
      <c r="AR242" s="16"/>
      <c r="AS242" s="11" t="s">
        <v>197</v>
      </c>
      <c r="AT242" s="11" t="s">
        <v>2055</v>
      </c>
      <c r="AU242" s="11" t="s">
        <v>2056</v>
      </c>
      <c r="AV242" s="11">
        <v>5.269983E7</v>
      </c>
      <c r="AW242" s="11" t="s">
        <v>79</v>
      </c>
      <c r="AX242" s="11">
        <v>1.140607992E9</v>
      </c>
      <c r="AY242" s="11" t="s">
        <v>2052</v>
      </c>
      <c r="AZ242" s="30">
        <v>41158.0</v>
      </c>
      <c r="BA242" s="11" t="s">
        <v>144</v>
      </c>
      <c r="BB242" s="11" t="s">
        <v>101</v>
      </c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</row>
    <row r="243" ht="19.5" customHeight="1">
      <c r="A243" s="10" t="b">
        <v>0</v>
      </c>
      <c r="B243" s="11"/>
      <c r="C243" s="13" t="s">
        <v>60</v>
      </c>
      <c r="D243" s="14" t="s">
        <v>60</v>
      </c>
      <c r="E243" s="11"/>
      <c r="F243" s="15" t="s">
        <v>4</v>
      </c>
      <c r="G243" s="16">
        <v>202.0</v>
      </c>
      <c r="H243" s="16"/>
      <c r="I243" s="16">
        <v>46913.0</v>
      </c>
      <c r="J243" s="11" t="s">
        <v>61</v>
      </c>
      <c r="K243" s="11" t="s">
        <v>62</v>
      </c>
      <c r="L243" s="18">
        <v>46284.62516203704</v>
      </c>
      <c r="M243" s="18">
        <v>46284.62520833333</v>
      </c>
      <c r="N243" s="11" t="s">
        <v>63</v>
      </c>
      <c r="O243" s="11">
        <v>0.0</v>
      </c>
      <c r="P243" s="11" t="s">
        <v>2057</v>
      </c>
      <c r="Q243" s="11" t="s">
        <v>2058</v>
      </c>
      <c r="R243" s="11"/>
      <c r="S243" s="11" t="s">
        <v>2059</v>
      </c>
      <c r="T243" s="11"/>
      <c r="U243" s="11" t="s">
        <v>2060</v>
      </c>
      <c r="V243" s="11" t="s">
        <v>68</v>
      </c>
      <c r="W243" s="11">
        <v>1176.0</v>
      </c>
      <c r="X243" s="11" t="s">
        <v>69</v>
      </c>
      <c r="Y243" s="11" t="s">
        <v>2061</v>
      </c>
      <c r="Z243" s="11">
        <v>5.41168020284E11</v>
      </c>
      <c r="AA243" s="11" t="s">
        <v>71</v>
      </c>
      <c r="AB243" s="11"/>
      <c r="AC243" s="11"/>
      <c r="AD243" s="18">
        <v>46284.62520833333</v>
      </c>
      <c r="AE243" s="11" t="s">
        <v>2062</v>
      </c>
      <c r="AF243" s="11" t="s">
        <v>2063</v>
      </c>
      <c r="AG243" s="18">
        <v>46284.75016203704</v>
      </c>
      <c r="AH243" s="18">
        <v>46284.75020833333</v>
      </c>
      <c r="AI243" s="11"/>
      <c r="AJ243" s="18">
        <v>46284.75020833333</v>
      </c>
      <c r="AK243" s="11">
        <v>18253.0</v>
      </c>
      <c r="AL243" s="21" t="s">
        <v>1423</v>
      </c>
      <c r="AM243" s="16" t="s">
        <v>1426</v>
      </c>
      <c r="AN243" s="16"/>
      <c r="AO243" s="23" t="s">
        <v>2064</v>
      </c>
      <c r="AP243" s="16" t="s">
        <v>76</v>
      </c>
      <c r="AQ243" s="16">
        <v>4052.0</v>
      </c>
      <c r="AR243" s="16"/>
      <c r="AS243" s="11" t="s">
        <v>668</v>
      </c>
      <c r="AT243" s="11" t="s">
        <v>2065</v>
      </c>
      <c r="AU243" s="11" t="s">
        <v>2066</v>
      </c>
      <c r="AV243" s="11">
        <v>5.5484451E7</v>
      </c>
      <c r="AW243" s="11" t="s">
        <v>99</v>
      </c>
      <c r="AX243" s="11">
        <v>1.168020284E9</v>
      </c>
      <c r="AY243" s="11" t="s">
        <v>2061</v>
      </c>
      <c r="AZ243" s="24">
        <v>42446.0</v>
      </c>
      <c r="BA243" s="11" t="s">
        <v>80</v>
      </c>
      <c r="BB243" s="11" t="s">
        <v>81</v>
      </c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</row>
    <row r="244" ht="19.5" customHeight="1">
      <c r="A244" s="10" t="b">
        <v>0</v>
      </c>
      <c r="B244" s="11"/>
      <c r="C244" s="13" t="s">
        <v>60</v>
      </c>
      <c r="D244" s="14" t="s">
        <v>60</v>
      </c>
      <c r="E244" s="11"/>
      <c r="F244" s="15" t="s">
        <v>4</v>
      </c>
      <c r="G244" s="16">
        <v>203.0</v>
      </c>
      <c r="H244" s="16"/>
      <c r="I244" s="16">
        <v>46914.0</v>
      </c>
      <c r="J244" s="11" t="s">
        <v>61</v>
      </c>
      <c r="K244" s="11" t="s">
        <v>62</v>
      </c>
      <c r="L244" s="18">
        <v>46284.62546296296</v>
      </c>
      <c r="M244" s="18">
        <v>46284.62552083333</v>
      </c>
      <c r="N244" s="11" t="s">
        <v>63</v>
      </c>
      <c r="O244" s="11">
        <v>0.0</v>
      </c>
      <c r="P244" s="11" t="s">
        <v>2067</v>
      </c>
      <c r="Q244" s="11" t="s">
        <v>2068</v>
      </c>
      <c r="R244" s="11"/>
      <c r="S244" s="11" t="s">
        <v>2069</v>
      </c>
      <c r="T244" s="11"/>
      <c r="U244" s="11" t="s">
        <v>2070</v>
      </c>
      <c r="V244" s="11" t="s">
        <v>68</v>
      </c>
      <c r="W244" s="11">
        <v>1657.0</v>
      </c>
      <c r="X244" s="11" t="s">
        <v>69</v>
      </c>
      <c r="Y244" s="11" t="s">
        <v>2071</v>
      </c>
      <c r="Z244" s="11">
        <v>5.41132994857E11</v>
      </c>
      <c r="AA244" s="11" t="s">
        <v>71</v>
      </c>
      <c r="AB244" s="11"/>
      <c r="AC244" s="11"/>
      <c r="AD244" s="18">
        <v>46284.62552083333</v>
      </c>
      <c r="AE244" s="11" t="s">
        <v>2072</v>
      </c>
      <c r="AF244" s="11" t="s">
        <v>2073</v>
      </c>
      <c r="AG244" s="18">
        <v>46284.75046296296</v>
      </c>
      <c r="AH244" s="18">
        <v>46284.75052083333</v>
      </c>
      <c r="AI244" s="11"/>
      <c r="AJ244" s="18">
        <v>46284.75052083333</v>
      </c>
      <c r="AK244" s="11">
        <v>18253.0</v>
      </c>
      <c r="AL244" s="21" t="s">
        <v>1423</v>
      </c>
      <c r="AM244" s="16"/>
      <c r="AN244" s="16"/>
      <c r="AO244" s="23" t="s">
        <v>2074</v>
      </c>
      <c r="AP244" s="16" t="s">
        <v>76</v>
      </c>
      <c r="AQ244" s="16">
        <v>3532.0</v>
      </c>
      <c r="AR244" s="16"/>
      <c r="AS244" s="11" t="s">
        <v>668</v>
      </c>
      <c r="AT244" s="10" t="s">
        <v>2075</v>
      </c>
      <c r="AU244" s="11" t="s">
        <v>2076</v>
      </c>
      <c r="AV244" s="11">
        <v>5.2828018E7</v>
      </c>
      <c r="AW244" s="11" t="s">
        <v>99</v>
      </c>
      <c r="AX244" s="11">
        <v>1.132994857E9</v>
      </c>
      <c r="AY244" s="11" t="s">
        <v>2071</v>
      </c>
      <c r="AZ244" s="24">
        <v>41211.0</v>
      </c>
      <c r="BA244" s="11" t="s">
        <v>2077</v>
      </c>
      <c r="BB244" s="11" t="s">
        <v>349</v>
      </c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</row>
    <row r="245" ht="19.5" customHeight="1">
      <c r="A245" s="10" t="b">
        <v>0</v>
      </c>
      <c r="B245" s="11"/>
      <c r="C245" s="13" t="s">
        <v>60</v>
      </c>
      <c r="D245" s="14" t="s">
        <v>60</v>
      </c>
      <c r="E245" s="11"/>
      <c r="F245" s="15" t="s">
        <v>4</v>
      </c>
      <c r="G245" s="16">
        <v>204.0</v>
      </c>
      <c r="H245" s="16"/>
      <c r="I245" s="16">
        <v>46915.0</v>
      </c>
      <c r="J245" s="11" t="s">
        <v>61</v>
      </c>
      <c r="K245" s="11" t="s">
        <v>62</v>
      </c>
      <c r="L245" s="18">
        <v>46284.63296296296</v>
      </c>
      <c r="M245" s="18">
        <v>46284.63300925926</v>
      </c>
      <c r="N245" s="11" t="s">
        <v>63</v>
      </c>
      <c r="O245" s="11">
        <v>0.0</v>
      </c>
      <c r="P245" s="11" t="s">
        <v>2057</v>
      </c>
      <c r="Q245" s="11" t="s">
        <v>2058</v>
      </c>
      <c r="R245" s="11"/>
      <c r="S245" s="11" t="s">
        <v>2059</v>
      </c>
      <c r="T245" s="11"/>
      <c r="U245" s="11" t="s">
        <v>2060</v>
      </c>
      <c r="V245" s="11" t="s">
        <v>68</v>
      </c>
      <c r="W245" s="11">
        <v>1176.0</v>
      </c>
      <c r="X245" s="11" t="s">
        <v>69</v>
      </c>
      <c r="Y245" s="11" t="s">
        <v>2061</v>
      </c>
      <c r="Z245" s="11">
        <v>5.41168020284E11</v>
      </c>
      <c r="AA245" s="11" t="s">
        <v>71</v>
      </c>
      <c r="AB245" s="11"/>
      <c r="AC245" s="11"/>
      <c r="AD245" s="11"/>
      <c r="AE245" s="11" t="s">
        <v>2078</v>
      </c>
      <c r="AF245" s="11" t="s">
        <v>2079</v>
      </c>
      <c r="AG245" s="18">
        <v>46284.75796296296</v>
      </c>
      <c r="AH245" s="18">
        <v>46284.75800925926</v>
      </c>
      <c r="AI245" s="11"/>
      <c r="AJ245" s="11"/>
      <c r="AK245" s="11">
        <v>18253.0</v>
      </c>
      <c r="AL245" s="21" t="s">
        <v>1423</v>
      </c>
      <c r="AM245" s="16"/>
      <c r="AN245" s="16"/>
      <c r="AO245" s="23" t="s">
        <v>2080</v>
      </c>
      <c r="AP245" s="16" t="s">
        <v>76</v>
      </c>
      <c r="AQ245" s="16">
        <v>4183.0</v>
      </c>
      <c r="AR245" s="16"/>
      <c r="AS245" s="11" t="s">
        <v>668</v>
      </c>
      <c r="AT245" s="11" t="s">
        <v>1525</v>
      </c>
      <c r="AU245" s="11" t="s">
        <v>2066</v>
      </c>
      <c r="AV245" s="11">
        <v>5.3583314E7</v>
      </c>
      <c r="AW245" s="11" t="s">
        <v>99</v>
      </c>
      <c r="AX245" s="11">
        <v>1.168020284E9</v>
      </c>
      <c r="AY245" s="11" t="s">
        <v>2061</v>
      </c>
      <c r="AZ245" s="24">
        <v>41554.0</v>
      </c>
      <c r="BA245" s="11" t="s">
        <v>80</v>
      </c>
      <c r="BB245" s="11" t="s">
        <v>349</v>
      </c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</row>
    <row r="246" ht="19.5" customHeight="1">
      <c r="A246" s="10" t="b">
        <v>0</v>
      </c>
      <c r="B246" s="11"/>
      <c r="C246" s="13" t="s">
        <v>60</v>
      </c>
      <c r="D246" s="14" t="s">
        <v>60</v>
      </c>
      <c r="E246" s="11"/>
      <c r="F246" s="15" t="s">
        <v>4</v>
      </c>
      <c r="G246" s="16">
        <v>205.0</v>
      </c>
      <c r="H246" s="16"/>
      <c r="I246" s="16">
        <v>46926.0</v>
      </c>
      <c r="J246" s="11" t="s">
        <v>61</v>
      </c>
      <c r="K246" s="11" t="s">
        <v>62</v>
      </c>
      <c r="L246" s="18">
        <v>46284.68662037037</v>
      </c>
      <c r="M246" s="18">
        <v>46284.686631944445</v>
      </c>
      <c r="N246" s="11" t="s">
        <v>63</v>
      </c>
      <c r="O246" s="11">
        <v>0.0</v>
      </c>
      <c r="P246" s="11" t="s">
        <v>2081</v>
      </c>
      <c r="Q246" s="11" t="s">
        <v>2082</v>
      </c>
      <c r="R246" s="11"/>
      <c r="S246" s="11" t="s">
        <v>2083</v>
      </c>
      <c r="T246" s="11"/>
      <c r="U246" s="11" t="s">
        <v>214</v>
      </c>
      <c r="V246" s="11" t="s">
        <v>68</v>
      </c>
      <c r="W246" s="11">
        <v>2930.0</v>
      </c>
      <c r="X246" s="11" t="s">
        <v>69</v>
      </c>
      <c r="Y246" s="11" t="s">
        <v>2084</v>
      </c>
      <c r="Z246" s="11">
        <v>3.329469063E9</v>
      </c>
      <c r="AA246" s="11" t="s">
        <v>645</v>
      </c>
      <c r="AB246" s="11"/>
      <c r="AC246" s="11"/>
      <c r="AD246" s="11"/>
      <c r="AE246" s="11" t="s">
        <v>2085</v>
      </c>
      <c r="AF246" s="11" t="s">
        <v>2086</v>
      </c>
      <c r="AG246" s="18">
        <v>46284.81162037037</v>
      </c>
      <c r="AH246" s="18">
        <v>46284.811631944445</v>
      </c>
      <c r="AI246" s="11"/>
      <c r="AJ246" s="11"/>
      <c r="AK246" s="11">
        <v>18253.0</v>
      </c>
      <c r="AL246" s="21" t="s">
        <v>1423</v>
      </c>
      <c r="AM246" s="16"/>
      <c r="AN246" s="14" t="s">
        <v>39</v>
      </c>
      <c r="AO246" s="23"/>
      <c r="AP246" s="16" t="s">
        <v>76</v>
      </c>
      <c r="AQ246" s="16">
        <v>4293.0</v>
      </c>
      <c r="AR246" s="16"/>
      <c r="AS246" s="11" t="s">
        <v>218</v>
      </c>
      <c r="AT246" s="11" t="s">
        <v>198</v>
      </c>
      <c r="AU246" s="11" t="s">
        <v>2087</v>
      </c>
      <c r="AV246" s="11">
        <v>5.4354129E7</v>
      </c>
      <c r="AW246" s="11" t="s">
        <v>79</v>
      </c>
      <c r="AX246" s="11">
        <v>3.329469063E9</v>
      </c>
      <c r="AY246" s="11" t="s">
        <v>2084</v>
      </c>
      <c r="AZ246" s="24">
        <v>41970.0</v>
      </c>
      <c r="BA246" s="11" t="s">
        <v>80</v>
      </c>
      <c r="BB246" s="11" t="s">
        <v>101</v>
      </c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</row>
    <row r="247" ht="19.5" customHeight="1">
      <c r="A247" s="10" t="b">
        <v>0</v>
      </c>
      <c r="B247" s="11"/>
      <c r="C247" s="13" t="s">
        <v>59</v>
      </c>
      <c r="D247" s="14" t="s">
        <v>60</v>
      </c>
      <c r="E247" s="11"/>
      <c r="F247" s="15" t="s">
        <v>4</v>
      </c>
      <c r="G247" s="16">
        <v>208.0</v>
      </c>
      <c r="H247" s="16"/>
      <c r="I247" s="16">
        <v>46929.0</v>
      </c>
      <c r="J247" s="11" t="s">
        <v>61</v>
      </c>
      <c r="K247" s="11" t="s">
        <v>62</v>
      </c>
      <c r="L247" s="18">
        <v>46284.72684027778</v>
      </c>
      <c r="M247" s="18">
        <v>46284.72688657408</v>
      </c>
      <c r="N247" s="11" t="s">
        <v>63</v>
      </c>
      <c r="O247" s="11">
        <v>0.0</v>
      </c>
      <c r="P247" s="11" t="s">
        <v>803</v>
      </c>
      <c r="Q247" s="11" t="s">
        <v>2088</v>
      </c>
      <c r="R247" s="11"/>
      <c r="S247" s="11" t="s">
        <v>2089</v>
      </c>
      <c r="T247" s="11" t="s">
        <v>2090</v>
      </c>
      <c r="U247" s="11" t="s">
        <v>2091</v>
      </c>
      <c r="V247" s="11" t="s">
        <v>68</v>
      </c>
      <c r="W247" s="11" t="s">
        <v>2092</v>
      </c>
      <c r="X247" s="11" t="s">
        <v>69</v>
      </c>
      <c r="Y247" s="11" t="s">
        <v>2093</v>
      </c>
      <c r="Z247" s="11">
        <v>5.4115060969E11</v>
      </c>
      <c r="AA247" s="11" t="s">
        <v>71</v>
      </c>
      <c r="AB247" s="11"/>
      <c r="AC247" s="11"/>
      <c r="AD247" s="18">
        <v>46284.72688657408</v>
      </c>
      <c r="AE247" s="11" t="s">
        <v>2094</v>
      </c>
      <c r="AF247" s="11" t="s">
        <v>2095</v>
      </c>
      <c r="AG247" s="18">
        <v>46284.85184027778</v>
      </c>
      <c r="AH247" s="18">
        <v>46284.85188657408</v>
      </c>
      <c r="AI247" s="11"/>
      <c r="AJ247" s="18">
        <v>46284.85188657408</v>
      </c>
      <c r="AK247" s="11">
        <v>18253.0</v>
      </c>
      <c r="AL247" s="21" t="s">
        <v>1423</v>
      </c>
      <c r="AM247" s="16"/>
      <c r="AN247" s="16"/>
      <c r="AO247" s="23" t="s">
        <v>2096</v>
      </c>
      <c r="AP247" s="16" t="s">
        <v>76</v>
      </c>
      <c r="AQ247" s="16">
        <v>3688.0</v>
      </c>
      <c r="AR247" s="16"/>
      <c r="AS247" s="11" t="s">
        <v>298</v>
      </c>
      <c r="AT247" s="11" t="s">
        <v>1161</v>
      </c>
      <c r="AU247" s="11" t="s">
        <v>2097</v>
      </c>
      <c r="AV247" s="11">
        <v>5.3242979E7</v>
      </c>
      <c r="AW247" s="11" t="s">
        <v>99</v>
      </c>
      <c r="AX247" s="11">
        <v>1.15060969E9</v>
      </c>
      <c r="AY247" s="11" t="s">
        <v>2093</v>
      </c>
      <c r="AZ247" s="31">
        <v>41398.0</v>
      </c>
      <c r="BA247" s="11" t="s">
        <v>1501</v>
      </c>
      <c r="BB247" s="11" t="s">
        <v>101</v>
      </c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</row>
    <row r="248" ht="19.5" customHeight="1">
      <c r="A248" s="10" t="b">
        <v>0</v>
      </c>
      <c r="B248" s="11"/>
      <c r="C248" s="13" t="s">
        <v>60</v>
      </c>
      <c r="D248" s="14" t="s">
        <v>60</v>
      </c>
      <c r="E248" s="11"/>
      <c r="F248" s="15" t="s">
        <v>4</v>
      </c>
      <c r="G248" s="16">
        <v>213.0</v>
      </c>
      <c r="H248" s="16"/>
      <c r="I248" s="16">
        <v>46936.0</v>
      </c>
      <c r="J248" s="11" t="s">
        <v>61</v>
      </c>
      <c r="K248" s="11" t="s">
        <v>62</v>
      </c>
      <c r="L248" s="18">
        <v>46284.90184027778</v>
      </c>
      <c r="M248" s="18">
        <v>46284.90189814815</v>
      </c>
      <c r="N248" s="11" t="s">
        <v>63</v>
      </c>
      <c r="O248" s="11">
        <v>0.0</v>
      </c>
      <c r="P248" s="11" t="s">
        <v>1490</v>
      </c>
      <c r="Q248" s="11" t="s">
        <v>2098</v>
      </c>
      <c r="R248" s="11"/>
      <c r="S248" s="11" t="s">
        <v>2099</v>
      </c>
      <c r="T248" s="11"/>
      <c r="U248" s="11" t="s">
        <v>1284</v>
      </c>
      <c r="V248" s="11" t="s">
        <v>68</v>
      </c>
      <c r="W248" s="11">
        <v>2930.0</v>
      </c>
      <c r="X248" s="11" t="s">
        <v>69</v>
      </c>
      <c r="Y248" s="11" t="s">
        <v>2100</v>
      </c>
      <c r="Z248" s="11">
        <v>5.43329636785E11</v>
      </c>
      <c r="AA248" s="11" t="s">
        <v>71</v>
      </c>
      <c r="AB248" s="11"/>
      <c r="AC248" s="11"/>
      <c r="AD248" s="11"/>
      <c r="AE248" s="11" t="s">
        <v>2101</v>
      </c>
      <c r="AF248" s="11" t="s">
        <v>2102</v>
      </c>
      <c r="AG248" s="18">
        <v>46285.02684027778</v>
      </c>
      <c r="AH248" s="18">
        <v>46285.02689814815</v>
      </c>
      <c r="AI248" s="11"/>
      <c r="AJ248" s="11"/>
      <c r="AK248" s="11">
        <v>18253.0</v>
      </c>
      <c r="AL248" s="21" t="s">
        <v>1423</v>
      </c>
      <c r="AM248" s="16"/>
      <c r="AN248" s="14" t="s">
        <v>39</v>
      </c>
      <c r="AO248" s="23"/>
      <c r="AP248" s="16" t="s">
        <v>76</v>
      </c>
      <c r="AQ248" s="16">
        <v>4353.0</v>
      </c>
      <c r="AR248" s="16"/>
      <c r="AS248" s="11" t="s">
        <v>218</v>
      </c>
      <c r="AT248" s="11" t="s">
        <v>621</v>
      </c>
      <c r="AU248" s="11" t="s">
        <v>2103</v>
      </c>
      <c r="AV248" s="11">
        <v>5.2909554E7</v>
      </c>
      <c r="AW248" s="11" t="s">
        <v>79</v>
      </c>
      <c r="AX248" s="11">
        <v>3.329636785E9</v>
      </c>
      <c r="AY248" s="11" t="s">
        <v>2100</v>
      </c>
      <c r="AZ248" s="24">
        <v>41299.0</v>
      </c>
      <c r="BA248" s="11" t="s">
        <v>436</v>
      </c>
      <c r="BB248" s="11" t="s">
        <v>81</v>
      </c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</row>
    <row r="249" ht="19.5" customHeight="1">
      <c r="A249" s="10" t="b">
        <v>0</v>
      </c>
      <c r="B249" s="11"/>
      <c r="C249" s="13" t="s">
        <v>59</v>
      </c>
      <c r="D249" s="14" t="s">
        <v>60</v>
      </c>
      <c r="E249" s="11"/>
      <c r="F249" s="15" t="s">
        <v>4</v>
      </c>
      <c r="G249" s="16">
        <v>215.0</v>
      </c>
      <c r="H249" s="16"/>
      <c r="I249" s="16">
        <v>46938.0</v>
      </c>
      <c r="J249" s="11" t="s">
        <v>61</v>
      </c>
      <c r="K249" s="11" t="s">
        <v>62</v>
      </c>
      <c r="L249" s="18">
        <v>46284.951261574075</v>
      </c>
      <c r="M249" s="18">
        <v>46284.951319444444</v>
      </c>
      <c r="N249" s="11" t="s">
        <v>63</v>
      </c>
      <c r="O249" s="11">
        <v>0.0</v>
      </c>
      <c r="P249" s="11" t="s">
        <v>2104</v>
      </c>
      <c r="Q249" s="11" t="s">
        <v>2105</v>
      </c>
      <c r="R249" s="11"/>
      <c r="S249" s="11" t="s">
        <v>2106</v>
      </c>
      <c r="T249" s="11"/>
      <c r="U249" s="11" t="s">
        <v>540</v>
      </c>
      <c r="V249" s="11" t="s">
        <v>101</v>
      </c>
      <c r="W249" s="11">
        <v>2152.0</v>
      </c>
      <c r="X249" s="11" t="s">
        <v>69</v>
      </c>
      <c r="Y249" s="11" t="s">
        <v>2107</v>
      </c>
      <c r="Z249" s="11">
        <v>3.416436779E9</v>
      </c>
      <c r="AA249" s="11" t="s">
        <v>71</v>
      </c>
      <c r="AB249" s="11"/>
      <c r="AC249" s="11"/>
      <c r="AD249" s="11"/>
      <c r="AE249" s="11" t="s">
        <v>2108</v>
      </c>
      <c r="AF249" s="11" t="s">
        <v>2109</v>
      </c>
      <c r="AG249" s="18">
        <v>46285.076261574075</v>
      </c>
      <c r="AH249" s="18">
        <v>46285.076319444444</v>
      </c>
      <c r="AI249" s="11"/>
      <c r="AJ249" s="11"/>
      <c r="AK249" s="11">
        <v>18253.0</v>
      </c>
      <c r="AL249" s="21" t="s">
        <v>1423</v>
      </c>
      <c r="AM249" s="16"/>
      <c r="AN249" s="16"/>
      <c r="AO249" s="23"/>
      <c r="AP249" s="16" t="s">
        <v>76</v>
      </c>
      <c r="AQ249" s="16">
        <v>3861.0</v>
      </c>
      <c r="AR249" s="16"/>
      <c r="AS249" s="11" t="s">
        <v>505</v>
      </c>
      <c r="AT249" s="11" t="s">
        <v>2110</v>
      </c>
      <c r="AU249" s="11" t="s">
        <v>2111</v>
      </c>
      <c r="AV249" s="11">
        <v>5.3774636E7</v>
      </c>
      <c r="AW249" s="11" t="s">
        <v>99</v>
      </c>
      <c r="AX249" s="11">
        <v>3.417516819E9</v>
      </c>
      <c r="AY249" s="11" t="s">
        <v>2112</v>
      </c>
      <c r="AZ249" s="24">
        <v>41636.0</v>
      </c>
      <c r="BA249" s="11" t="s">
        <v>2113</v>
      </c>
      <c r="BB249" s="11" t="s">
        <v>349</v>
      </c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</row>
    <row r="250" ht="19.5" customHeight="1">
      <c r="A250" s="10" t="b">
        <v>0</v>
      </c>
      <c r="B250" s="11"/>
      <c r="C250" s="13" t="s">
        <v>60</v>
      </c>
      <c r="D250" s="14" t="s">
        <v>60</v>
      </c>
      <c r="E250" s="11"/>
      <c r="F250" s="15" t="s">
        <v>4</v>
      </c>
      <c r="G250" s="16">
        <v>217.0</v>
      </c>
      <c r="H250" s="16"/>
      <c r="I250" s="16">
        <v>46940.0</v>
      </c>
      <c r="J250" s="11" t="s">
        <v>61</v>
      </c>
      <c r="K250" s="11" t="s">
        <v>62</v>
      </c>
      <c r="L250" s="18">
        <v>46285.305613425924</v>
      </c>
      <c r="M250" s="18">
        <v>46285.305659722224</v>
      </c>
      <c r="N250" s="11" t="s">
        <v>63</v>
      </c>
      <c r="O250" s="11">
        <v>0.0</v>
      </c>
      <c r="P250" s="11" t="s">
        <v>2114</v>
      </c>
      <c r="Q250" s="11" t="s">
        <v>2115</v>
      </c>
      <c r="R250" s="11"/>
      <c r="S250" s="11" t="s">
        <v>2116</v>
      </c>
      <c r="T250" s="11"/>
      <c r="U250" s="11" t="s">
        <v>1258</v>
      </c>
      <c r="V250" s="11" t="s">
        <v>126</v>
      </c>
      <c r="W250" s="11">
        <v>1641.0</v>
      </c>
      <c r="X250" s="11" t="s">
        <v>69</v>
      </c>
      <c r="Y250" s="11" t="s">
        <v>2117</v>
      </c>
      <c r="Z250" s="11">
        <v>5.491131963911E12</v>
      </c>
      <c r="AA250" s="11" t="s">
        <v>71</v>
      </c>
      <c r="AB250" s="11"/>
      <c r="AC250" s="11"/>
      <c r="AD250" s="11"/>
      <c r="AE250" s="11" t="s">
        <v>2118</v>
      </c>
      <c r="AF250" s="11" t="s">
        <v>2119</v>
      </c>
      <c r="AG250" s="18">
        <v>46285.430613425924</v>
      </c>
      <c r="AH250" s="18">
        <v>46285.430659722224</v>
      </c>
      <c r="AI250" s="11"/>
      <c r="AJ250" s="11"/>
      <c r="AK250" s="11">
        <v>18253.0</v>
      </c>
      <c r="AL250" s="21" t="s">
        <v>1423</v>
      </c>
      <c r="AM250" s="16"/>
      <c r="AN250" s="16"/>
      <c r="AO250" s="23"/>
      <c r="AP250" s="16" t="s">
        <v>76</v>
      </c>
      <c r="AQ250" s="16">
        <v>4092.0</v>
      </c>
      <c r="AR250" s="16"/>
      <c r="AS250" s="10" t="s">
        <v>2120</v>
      </c>
      <c r="AT250" s="11" t="s">
        <v>120</v>
      </c>
      <c r="AU250" s="11" t="s">
        <v>2115</v>
      </c>
      <c r="AV250" s="11">
        <v>5.2676878E7</v>
      </c>
      <c r="AW250" s="11" t="s">
        <v>99</v>
      </c>
      <c r="AX250" s="11">
        <v>1.131963911E9</v>
      </c>
      <c r="AY250" s="11" t="s">
        <v>2117</v>
      </c>
      <c r="AZ250" s="24">
        <v>41122.0</v>
      </c>
      <c r="BA250" s="11" t="s">
        <v>80</v>
      </c>
      <c r="BB250" s="11" t="s">
        <v>81</v>
      </c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</row>
    <row r="251" ht="19.5" customHeight="1">
      <c r="A251" s="10" t="b">
        <v>0</v>
      </c>
      <c r="B251" s="11"/>
      <c r="C251" s="13" t="s">
        <v>59</v>
      </c>
      <c r="D251" s="14" t="s">
        <v>60</v>
      </c>
      <c r="E251" s="11"/>
      <c r="F251" s="15" t="s">
        <v>4</v>
      </c>
      <c r="G251" s="16">
        <v>218.0</v>
      </c>
      <c r="H251" s="16"/>
      <c r="I251" s="16">
        <v>46941.0</v>
      </c>
      <c r="J251" s="11" t="s">
        <v>61</v>
      </c>
      <c r="K251" s="11" t="s">
        <v>62</v>
      </c>
      <c r="L251" s="18">
        <v>46285.348275462966</v>
      </c>
      <c r="M251" s="18">
        <v>46285.348333333335</v>
      </c>
      <c r="N251" s="11" t="s">
        <v>63</v>
      </c>
      <c r="O251" s="11">
        <v>0.0</v>
      </c>
      <c r="P251" s="11" t="s">
        <v>243</v>
      </c>
      <c r="Q251" s="11" t="s">
        <v>2121</v>
      </c>
      <c r="R251" s="11"/>
      <c r="S251" s="11" t="s">
        <v>2122</v>
      </c>
      <c r="T251" s="11"/>
      <c r="U251" s="11" t="s">
        <v>1680</v>
      </c>
      <c r="V251" s="11" t="s">
        <v>68</v>
      </c>
      <c r="W251" s="11">
        <v>1640.0</v>
      </c>
      <c r="X251" s="11" t="s">
        <v>69</v>
      </c>
      <c r="Y251" s="11" t="s">
        <v>2123</v>
      </c>
      <c r="Z251" s="11">
        <v>5.41136972482E11</v>
      </c>
      <c r="AA251" s="11" t="s">
        <v>71</v>
      </c>
      <c r="AB251" s="11"/>
      <c r="AC251" s="11"/>
      <c r="AD251" s="11"/>
      <c r="AE251" s="11" t="s">
        <v>2124</v>
      </c>
      <c r="AF251" s="11" t="s">
        <v>2125</v>
      </c>
      <c r="AG251" s="18">
        <v>46285.473275462966</v>
      </c>
      <c r="AH251" s="18">
        <v>46285.473333333335</v>
      </c>
      <c r="AI251" s="11"/>
      <c r="AJ251" s="11"/>
      <c r="AK251" s="11">
        <v>18253.0</v>
      </c>
      <c r="AL251" s="21" t="s">
        <v>1423</v>
      </c>
      <c r="AM251" s="16"/>
      <c r="AN251" s="16"/>
      <c r="AO251" s="23"/>
      <c r="AP251" s="16" t="s">
        <v>76</v>
      </c>
      <c r="AQ251" s="16">
        <v>4163.0</v>
      </c>
      <c r="AR251" s="16"/>
      <c r="AS251" s="11" t="s">
        <v>269</v>
      </c>
      <c r="AT251" s="11" t="s">
        <v>1848</v>
      </c>
      <c r="AU251" s="11" t="s">
        <v>2121</v>
      </c>
      <c r="AV251" s="11">
        <v>5.2764604E7</v>
      </c>
      <c r="AW251" s="11" t="s">
        <v>99</v>
      </c>
      <c r="AX251" s="11">
        <v>1.136972482E9</v>
      </c>
      <c r="AY251" s="11" t="s">
        <v>2123</v>
      </c>
      <c r="AZ251" s="24">
        <v>41190.0</v>
      </c>
      <c r="BA251" s="11" t="s">
        <v>144</v>
      </c>
      <c r="BB251" s="11" t="s">
        <v>101</v>
      </c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</row>
    <row r="252" ht="19.5" customHeight="1">
      <c r="A252" s="10" t="b">
        <v>0</v>
      </c>
      <c r="B252" s="11"/>
      <c r="C252" s="13" t="s">
        <v>59</v>
      </c>
      <c r="D252" s="14" t="s">
        <v>60</v>
      </c>
      <c r="E252" s="11"/>
      <c r="F252" s="15" t="s">
        <v>4</v>
      </c>
      <c r="G252" s="16">
        <v>219.0</v>
      </c>
      <c r="H252" s="16"/>
      <c r="I252" s="16">
        <v>46942.0</v>
      </c>
      <c r="J252" s="11" t="s">
        <v>61</v>
      </c>
      <c r="K252" s="11" t="s">
        <v>62</v>
      </c>
      <c r="L252" s="18">
        <v>46285.352638888886</v>
      </c>
      <c r="M252" s="18">
        <v>46285.35267361111</v>
      </c>
      <c r="N252" s="11" t="s">
        <v>63</v>
      </c>
      <c r="O252" s="11">
        <v>0.0</v>
      </c>
      <c r="P252" s="11" t="s">
        <v>243</v>
      </c>
      <c r="Q252" s="11" t="s">
        <v>2121</v>
      </c>
      <c r="R252" s="11"/>
      <c r="S252" s="11" t="s">
        <v>2122</v>
      </c>
      <c r="T252" s="11"/>
      <c r="U252" s="11" t="s">
        <v>1680</v>
      </c>
      <c r="V252" s="11" t="s">
        <v>68</v>
      </c>
      <c r="W252" s="11">
        <v>1640.0</v>
      </c>
      <c r="X252" s="11" t="s">
        <v>69</v>
      </c>
      <c r="Y252" s="11" t="s">
        <v>2123</v>
      </c>
      <c r="Z252" s="11">
        <v>5.41136972482E11</v>
      </c>
      <c r="AA252" s="11" t="s">
        <v>71</v>
      </c>
      <c r="AB252" s="11"/>
      <c r="AC252" s="11"/>
      <c r="AD252" s="18">
        <v>46285.35267361111</v>
      </c>
      <c r="AE252" s="11" t="s">
        <v>2126</v>
      </c>
      <c r="AF252" s="11" t="s">
        <v>2127</v>
      </c>
      <c r="AG252" s="18">
        <v>46285.477638888886</v>
      </c>
      <c r="AH252" s="18">
        <v>46285.47767361111</v>
      </c>
      <c r="AI252" s="11"/>
      <c r="AJ252" s="18">
        <v>46285.47767361111</v>
      </c>
      <c r="AK252" s="11">
        <v>18253.0</v>
      </c>
      <c r="AL252" s="21" t="s">
        <v>1423</v>
      </c>
      <c r="AM252" s="16" t="s">
        <v>1426</v>
      </c>
      <c r="AN252" s="16"/>
      <c r="AO252" s="23"/>
      <c r="AP252" s="16" t="s">
        <v>76</v>
      </c>
      <c r="AQ252" s="16">
        <v>3450.0</v>
      </c>
      <c r="AR252" s="16"/>
      <c r="AS252" s="11" t="s">
        <v>269</v>
      </c>
      <c r="AT252" s="11" t="s">
        <v>2128</v>
      </c>
      <c r="AU252" s="11" t="s">
        <v>2121</v>
      </c>
      <c r="AV252" s="11">
        <v>5.5161432E7</v>
      </c>
      <c r="AW252" s="11" t="s">
        <v>99</v>
      </c>
      <c r="AX252" s="11">
        <v>1.136972482E9</v>
      </c>
      <c r="AY252" s="11" t="s">
        <v>2123</v>
      </c>
      <c r="AZ252" s="24">
        <v>42292.0</v>
      </c>
      <c r="BA252" s="11" t="s">
        <v>144</v>
      </c>
      <c r="BB252" s="11" t="s">
        <v>101</v>
      </c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</row>
    <row r="253" ht="19.5" customHeight="1">
      <c r="A253" s="10" t="b">
        <v>0</v>
      </c>
      <c r="B253" s="11"/>
      <c r="C253" s="13" t="s">
        <v>60</v>
      </c>
      <c r="D253" s="14" t="s">
        <v>60</v>
      </c>
      <c r="E253" s="11"/>
      <c r="F253" s="15" t="s">
        <v>4</v>
      </c>
      <c r="G253" s="16">
        <v>222.0</v>
      </c>
      <c r="H253" s="16"/>
      <c r="I253" s="16">
        <v>46945.0</v>
      </c>
      <c r="J253" s="11" t="s">
        <v>61</v>
      </c>
      <c r="K253" s="11" t="s">
        <v>62</v>
      </c>
      <c r="L253" s="18">
        <v>46285.46425925926</v>
      </c>
      <c r="M253" s="18">
        <v>46285.46431712963</v>
      </c>
      <c r="N253" s="11" t="s">
        <v>63</v>
      </c>
      <c r="O253" s="11">
        <v>0.0</v>
      </c>
      <c r="P253" s="11" t="s">
        <v>514</v>
      </c>
      <c r="Q253" s="11" t="s">
        <v>515</v>
      </c>
      <c r="R253" s="11"/>
      <c r="S253" s="11" t="s">
        <v>516</v>
      </c>
      <c r="T253" s="11" t="s">
        <v>517</v>
      </c>
      <c r="U253" s="11" t="s">
        <v>276</v>
      </c>
      <c r="V253" s="11" t="s">
        <v>68</v>
      </c>
      <c r="W253" s="11">
        <v>1020.0</v>
      </c>
      <c r="X253" s="11" t="s">
        <v>69</v>
      </c>
      <c r="Y253" s="11" t="s">
        <v>518</v>
      </c>
      <c r="Z253" s="11">
        <v>5.41140624064E11</v>
      </c>
      <c r="AA253" s="11" t="s">
        <v>71</v>
      </c>
      <c r="AB253" s="11"/>
      <c r="AC253" s="11"/>
      <c r="AD253" s="11"/>
      <c r="AE253" s="11" t="s">
        <v>2129</v>
      </c>
      <c r="AF253" s="11" t="s">
        <v>2130</v>
      </c>
      <c r="AG253" s="18">
        <v>46285.58925925926</v>
      </c>
      <c r="AH253" s="18">
        <v>46285.58931712963</v>
      </c>
      <c r="AI253" s="11"/>
      <c r="AJ253" s="11"/>
      <c r="AK253" s="11">
        <v>18253.0</v>
      </c>
      <c r="AL253" s="21" t="s">
        <v>1423</v>
      </c>
      <c r="AM253" s="16"/>
      <c r="AN253" s="14" t="s">
        <v>39</v>
      </c>
      <c r="AO253" s="23"/>
      <c r="AP253" s="16" t="s">
        <v>76</v>
      </c>
      <c r="AQ253" s="16">
        <v>4363.0</v>
      </c>
      <c r="AR253" s="16"/>
      <c r="AS253" s="11" t="s">
        <v>251</v>
      </c>
      <c r="AT253" s="11" t="s">
        <v>686</v>
      </c>
      <c r="AU253" s="11" t="s">
        <v>522</v>
      </c>
      <c r="AV253" s="11">
        <v>5.2613001E7</v>
      </c>
      <c r="AW253" s="11" t="s">
        <v>79</v>
      </c>
      <c r="AX253" s="11">
        <v>1.140624064E9</v>
      </c>
      <c r="AY253" s="11" t="s">
        <v>518</v>
      </c>
      <c r="AZ253" s="31">
        <v>41040.0</v>
      </c>
      <c r="BA253" s="11" t="s">
        <v>230</v>
      </c>
      <c r="BB253" s="11" t="s">
        <v>101</v>
      </c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</row>
    <row r="254" ht="19.5" customHeight="1">
      <c r="A254" s="10" t="b">
        <v>0</v>
      </c>
      <c r="B254" s="11"/>
      <c r="C254" s="13" t="s">
        <v>60</v>
      </c>
      <c r="D254" s="14" t="s">
        <v>60</v>
      </c>
      <c r="E254" s="11"/>
      <c r="F254" s="15" t="s">
        <v>4</v>
      </c>
      <c r="G254" s="16">
        <v>230.0</v>
      </c>
      <c r="H254" s="16"/>
      <c r="I254" s="16">
        <v>46953.0</v>
      </c>
      <c r="J254" s="11" t="s">
        <v>61</v>
      </c>
      <c r="K254" s="11" t="s">
        <v>62</v>
      </c>
      <c r="L254" s="18">
        <v>46285.57555555556</v>
      </c>
      <c r="M254" s="18">
        <v>46285.57561342593</v>
      </c>
      <c r="N254" s="11" t="s">
        <v>63</v>
      </c>
      <c r="O254" s="11">
        <v>0.0</v>
      </c>
      <c r="P254" s="11" t="s">
        <v>134</v>
      </c>
      <c r="Q254" s="11" t="s">
        <v>2131</v>
      </c>
      <c r="R254" s="11"/>
      <c r="S254" s="11" t="s">
        <v>2132</v>
      </c>
      <c r="T254" s="11"/>
      <c r="U254" s="11" t="s">
        <v>2133</v>
      </c>
      <c r="V254" s="11" t="s">
        <v>224</v>
      </c>
      <c r="W254" s="11">
        <v>8400.0</v>
      </c>
      <c r="X254" s="11" t="s">
        <v>69</v>
      </c>
      <c r="Y254" s="11" t="s">
        <v>2134</v>
      </c>
      <c r="Z254" s="11">
        <v>5.492944656902E12</v>
      </c>
      <c r="AA254" s="11" t="s">
        <v>71</v>
      </c>
      <c r="AB254" s="11"/>
      <c r="AC254" s="11"/>
      <c r="AD254" s="18">
        <v>46285.57561342593</v>
      </c>
      <c r="AE254" s="11" t="s">
        <v>2135</v>
      </c>
      <c r="AF254" s="11" t="s">
        <v>2136</v>
      </c>
      <c r="AG254" s="18">
        <v>46285.70055555556</v>
      </c>
      <c r="AH254" s="18">
        <v>46285.70061342593</v>
      </c>
      <c r="AI254" s="11"/>
      <c r="AJ254" s="18">
        <v>46285.70061342593</v>
      </c>
      <c r="AK254" s="11">
        <v>18253.0</v>
      </c>
      <c r="AL254" s="21" t="s">
        <v>1423</v>
      </c>
      <c r="AM254" s="16"/>
      <c r="AN254" s="16"/>
      <c r="AO254" s="23" t="s">
        <v>2137</v>
      </c>
      <c r="AP254" s="16" t="s">
        <v>76</v>
      </c>
      <c r="AQ254" s="16">
        <v>4129.0</v>
      </c>
      <c r="AR254" s="16"/>
      <c r="AS254" s="11" t="s">
        <v>2138</v>
      </c>
      <c r="AT254" s="11" t="s">
        <v>2139</v>
      </c>
      <c r="AU254" s="11" t="s">
        <v>2131</v>
      </c>
      <c r="AV254" s="11">
        <v>5.3907227E7</v>
      </c>
      <c r="AW254" s="11" t="s">
        <v>99</v>
      </c>
      <c r="AX254" s="11">
        <v>5.492944656902E12</v>
      </c>
      <c r="AY254" s="11" t="s">
        <v>2134</v>
      </c>
      <c r="AZ254" s="24">
        <v>41753.0</v>
      </c>
      <c r="BA254" s="11" t="s">
        <v>2140</v>
      </c>
      <c r="BB254" s="11" t="s">
        <v>349</v>
      </c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</row>
    <row r="255" ht="19.5" customHeight="1">
      <c r="A255" s="10" t="b">
        <v>0</v>
      </c>
      <c r="B255" s="11"/>
      <c r="C255" s="13" t="s">
        <v>59</v>
      </c>
      <c r="D255" s="14" t="s">
        <v>60</v>
      </c>
      <c r="E255" s="11"/>
      <c r="F255" s="15" t="s">
        <v>4</v>
      </c>
      <c r="G255" s="16">
        <v>233.0</v>
      </c>
      <c r="H255" s="16"/>
      <c r="I255" s="16">
        <v>46956.0</v>
      </c>
      <c r="J255" s="11" t="s">
        <v>61</v>
      </c>
      <c r="K255" s="11" t="s">
        <v>62</v>
      </c>
      <c r="L255" s="18">
        <v>46285.68224537037</v>
      </c>
      <c r="M255" s="18">
        <v>46285.68230324074</v>
      </c>
      <c r="N255" s="11" t="s">
        <v>63</v>
      </c>
      <c r="O255" s="11">
        <v>0.0</v>
      </c>
      <c r="P255" s="11" t="s">
        <v>546</v>
      </c>
      <c r="Q255" s="11" t="s">
        <v>547</v>
      </c>
      <c r="R255" s="11"/>
      <c r="S255" s="11" t="s">
        <v>548</v>
      </c>
      <c r="T255" s="11"/>
      <c r="U255" s="11" t="s">
        <v>549</v>
      </c>
      <c r="V255" s="11" t="s">
        <v>68</v>
      </c>
      <c r="W255" s="11">
        <v>1900.0</v>
      </c>
      <c r="X255" s="11" t="s">
        <v>69</v>
      </c>
      <c r="Y255" s="11" t="s">
        <v>550</v>
      </c>
      <c r="Z255" s="11">
        <v>2.214956406E9</v>
      </c>
      <c r="AA255" s="11" t="s">
        <v>71</v>
      </c>
      <c r="AB255" s="11"/>
      <c r="AC255" s="11"/>
      <c r="AD255" s="18">
        <v>46285.68230324074</v>
      </c>
      <c r="AE255" s="11" t="s">
        <v>2141</v>
      </c>
      <c r="AF255" s="11" t="s">
        <v>2142</v>
      </c>
      <c r="AG255" s="18">
        <v>46285.80724537037</v>
      </c>
      <c r="AH255" s="18">
        <v>46285.80730324074</v>
      </c>
      <c r="AI255" s="11"/>
      <c r="AJ255" s="18">
        <v>46285.80730324074</v>
      </c>
      <c r="AK255" s="11">
        <v>18253.0</v>
      </c>
      <c r="AL255" s="21" t="s">
        <v>1423</v>
      </c>
      <c r="AM255" s="16" t="s">
        <v>1426</v>
      </c>
      <c r="AN255" s="14" t="s">
        <v>39</v>
      </c>
      <c r="AO255" s="23" t="s">
        <v>2143</v>
      </c>
      <c r="AP255" s="16" t="s">
        <v>76</v>
      </c>
      <c r="AQ255" s="16">
        <v>3433.0</v>
      </c>
      <c r="AR255" s="16"/>
      <c r="AS255" s="11" t="s">
        <v>433</v>
      </c>
      <c r="AT255" s="11" t="s">
        <v>2144</v>
      </c>
      <c r="AU255" s="11" t="s">
        <v>555</v>
      </c>
      <c r="AV255" s="11">
        <v>5.4657887E7</v>
      </c>
      <c r="AW255" s="11" t="s">
        <v>79</v>
      </c>
      <c r="AX255" s="11">
        <v>2.214956406E9</v>
      </c>
      <c r="AY255" s="11" t="s">
        <v>550</v>
      </c>
      <c r="AZ255" s="24">
        <v>42066.0</v>
      </c>
      <c r="BA255" s="11" t="s">
        <v>144</v>
      </c>
      <c r="BB255" s="11" t="s">
        <v>81</v>
      </c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</row>
    <row r="256" ht="19.5" customHeight="1">
      <c r="A256" s="10" t="b">
        <v>0</v>
      </c>
      <c r="B256" s="11"/>
      <c r="C256" s="13" t="s">
        <v>60</v>
      </c>
      <c r="D256" s="14" t="s">
        <v>60</v>
      </c>
      <c r="E256" s="11"/>
      <c r="F256" s="15" t="s">
        <v>4</v>
      </c>
      <c r="G256" s="16">
        <v>235.0</v>
      </c>
      <c r="H256" s="16"/>
      <c r="I256" s="16">
        <v>46958.0</v>
      </c>
      <c r="J256" s="11" t="s">
        <v>61</v>
      </c>
      <c r="K256" s="11" t="s">
        <v>62</v>
      </c>
      <c r="L256" s="18">
        <v>46285.68875</v>
      </c>
      <c r="M256" s="18">
        <v>46285.68880787037</v>
      </c>
      <c r="N256" s="11" t="s">
        <v>63</v>
      </c>
      <c r="O256" s="11">
        <v>0.0</v>
      </c>
      <c r="P256" s="11" t="s">
        <v>2145</v>
      </c>
      <c r="Q256" s="11" t="s">
        <v>2146</v>
      </c>
      <c r="R256" s="11"/>
      <c r="S256" s="11" t="s">
        <v>2147</v>
      </c>
      <c r="T256" s="11"/>
      <c r="U256" s="11" t="s">
        <v>1284</v>
      </c>
      <c r="V256" s="11" t="s">
        <v>68</v>
      </c>
      <c r="W256" s="11">
        <v>2930.0</v>
      </c>
      <c r="X256" s="11" t="s">
        <v>69</v>
      </c>
      <c r="Y256" s="11" t="s">
        <v>2148</v>
      </c>
      <c r="Z256" s="11">
        <v>1.15835577E9</v>
      </c>
      <c r="AA256" s="11" t="s">
        <v>71</v>
      </c>
      <c r="AB256" s="11"/>
      <c r="AC256" s="11"/>
      <c r="AD256" s="18">
        <v>46285.68880787037</v>
      </c>
      <c r="AE256" s="11" t="s">
        <v>2149</v>
      </c>
      <c r="AF256" s="11" t="s">
        <v>2150</v>
      </c>
      <c r="AG256" s="18">
        <v>46285.81375</v>
      </c>
      <c r="AH256" s="18">
        <v>46285.81380787037</v>
      </c>
      <c r="AI256" s="11"/>
      <c r="AJ256" s="18">
        <v>46285.81380787037</v>
      </c>
      <c r="AK256" s="11">
        <v>18253.0</v>
      </c>
      <c r="AL256" s="21" t="s">
        <v>1423</v>
      </c>
      <c r="AM256" s="16"/>
      <c r="AN256" s="14" t="s">
        <v>39</v>
      </c>
      <c r="AO256" s="23"/>
      <c r="AP256" s="16" t="s">
        <v>76</v>
      </c>
      <c r="AQ256" s="16">
        <v>3908.0</v>
      </c>
      <c r="AR256" s="16"/>
      <c r="AS256" s="11" t="s">
        <v>218</v>
      </c>
      <c r="AT256" s="11" t="s">
        <v>2151</v>
      </c>
      <c r="AU256" s="11" t="s">
        <v>2152</v>
      </c>
      <c r="AV256" s="11">
        <v>5.2698988E7</v>
      </c>
      <c r="AW256" s="11" t="s">
        <v>79</v>
      </c>
      <c r="AX256" s="11">
        <v>1.15835577E9</v>
      </c>
      <c r="AY256" s="11" t="s">
        <v>2148</v>
      </c>
      <c r="AZ256" s="24">
        <v>41145.0</v>
      </c>
      <c r="BA256" s="11" t="s">
        <v>252</v>
      </c>
      <c r="BB256" s="11" t="s">
        <v>101</v>
      </c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</row>
    <row r="257" ht="19.5" customHeight="1">
      <c r="A257" s="10" t="b">
        <v>0</v>
      </c>
      <c r="B257" s="11"/>
      <c r="C257" s="13" t="s">
        <v>59</v>
      </c>
      <c r="D257" s="14" t="s">
        <v>60</v>
      </c>
      <c r="E257" s="11"/>
      <c r="F257" s="15" t="s">
        <v>4</v>
      </c>
      <c r="G257" s="16">
        <v>237.0</v>
      </c>
      <c r="H257" s="16"/>
      <c r="I257" s="16">
        <v>46960.0</v>
      </c>
      <c r="J257" s="11" t="s">
        <v>61</v>
      </c>
      <c r="K257" s="11" t="s">
        <v>62</v>
      </c>
      <c r="L257" s="18">
        <v>46285.70601851852</v>
      </c>
      <c r="M257" s="18">
        <v>46285.70606481482</v>
      </c>
      <c r="N257" s="11" t="s">
        <v>63</v>
      </c>
      <c r="O257" s="11">
        <v>0.0</v>
      </c>
      <c r="P257" s="11" t="s">
        <v>2153</v>
      </c>
      <c r="Q257" s="11" t="s">
        <v>2154</v>
      </c>
      <c r="R257" s="11"/>
      <c r="S257" s="11" t="s">
        <v>2155</v>
      </c>
      <c r="T257" s="11"/>
      <c r="U257" s="11" t="s">
        <v>2156</v>
      </c>
      <c r="V257" s="11" t="s">
        <v>68</v>
      </c>
      <c r="W257" s="11">
        <v>1931.0</v>
      </c>
      <c r="X257" s="11" t="s">
        <v>69</v>
      </c>
      <c r="Y257" s="11" t="s">
        <v>2157</v>
      </c>
      <c r="Z257" s="11">
        <v>2.21614579E9</v>
      </c>
      <c r="AA257" s="11" t="s">
        <v>71</v>
      </c>
      <c r="AB257" s="11"/>
      <c r="AC257" s="11"/>
      <c r="AD257" s="11"/>
      <c r="AE257" s="11" t="s">
        <v>2158</v>
      </c>
      <c r="AF257" s="11" t="s">
        <v>2159</v>
      </c>
      <c r="AG257" s="18">
        <v>46285.83101851852</v>
      </c>
      <c r="AH257" s="18">
        <v>46285.83106481482</v>
      </c>
      <c r="AI257" s="11"/>
      <c r="AJ257" s="11"/>
      <c r="AK257" s="11">
        <v>18253.0</v>
      </c>
      <c r="AL257" s="21" t="s">
        <v>1423</v>
      </c>
      <c r="AM257" s="16"/>
      <c r="AN257" s="14" t="s">
        <v>39</v>
      </c>
      <c r="AO257" s="23">
        <v>4043.0</v>
      </c>
      <c r="AP257" s="16" t="s">
        <v>76</v>
      </c>
      <c r="AQ257" s="16">
        <v>4043.0</v>
      </c>
      <c r="AR257" s="16"/>
      <c r="AS257" s="11" t="s">
        <v>433</v>
      </c>
      <c r="AT257" s="11" t="s">
        <v>2160</v>
      </c>
      <c r="AU257" s="11" t="s">
        <v>2161</v>
      </c>
      <c r="AV257" s="11">
        <v>5.126146E7</v>
      </c>
      <c r="AW257" s="11" t="s">
        <v>79</v>
      </c>
      <c r="AX257" s="11">
        <v>2.21614579E9</v>
      </c>
      <c r="AY257" s="11" t="s">
        <v>2157</v>
      </c>
      <c r="AZ257" s="24">
        <v>40791.0</v>
      </c>
      <c r="BA257" s="11" t="s">
        <v>436</v>
      </c>
      <c r="BB257" s="11" t="s">
        <v>101</v>
      </c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</row>
    <row r="258" ht="19.5" customHeight="1">
      <c r="A258" s="10" t="b">
        <v>0</v>
      </c>
      <c r="B258" s="11"/>
      <c r="C258" s="13" t="s">
        <v>60</v>
      </c>
      <c r="D258" s="14" t="s">
        <v>60</v>
      </c>
      <c r="E258" s="11"/>
      <c r="F258" s="15" t="s">
        <v>4</v>
      </c>
      <c r="G258" s="16">
        <v>240.0</v>
      </c>
      <c r="H258" s="16"/>
      <c r="I258" s="16">
        <v>46963.0</v>
      </c>
      <c r="J258" s="11" t="s">
        <v>61</v>
      </c>
      <c r="K258" s="11" t="s">
        <v>62</v>
      </c>
      <c r="L258" s="18">
        <v>46285.733402777776</v>
      </c>
      <c r="M258" s="18">
        <v>46285.733449074076</v>
      </c>
      <c r="N258" s="11" t="s">
        <v>63</v>
      </c>
      <c r="O258" s="11">
        <v>0.0</v>
      </c>
      <c r="P258" s="11" t="s">
        <v>2162</v>
      </c>
      <c r="Q258" s="11" t="s">
        <v>2163</v>
      </c>
      <c r="R258" s="11"/>
      <c r="S258" s="11" t="s">
        <v>2164</v>
      </c>
      <c r="T258" s="11" t="s">
        <v>2165</v>
      </c>
      <c r="U258" s="11" t="s">
        <v>580</v>
      </c>
      <c r="V258" s="11" t="s">
        <v>68</v>
      </c>
      <c r="W258" s="11">
        <v>1640.0</v>
      </c>
      <c r="X258" s="11" t="s">
        <v>69</v>
      </c>
      <c r="Y258" s="11" t="s">
        <v>2166</v>
      </c>
      <c r="Z258" s="11">
        <v>5.41149924264E11</v>
      </c>
      <c r="AA258" s="11" t="s">
        <v>71</v>
      </c>
      <c r="AB258" s="11"/>
      <c r="AC258" s="11"/>
      <c r="AD258" s="11"/>
      <c r="AE258" s="11" t="s">
        <v>2167</v>
      </c>
      <c r="AF258" s="11" t="s">
        <v>2168</v>
      </c>
      <c r="AG258" s="18">
        <v>46285.858402777776</v>
      </c>
      <c r="AH258" s="18">
        <v>46285.858449074076</v>
      </c>
      <c r="AI258" s="11"/>
      <c r="AJ258" s="11"/>
      <c r="AK258" s="11">
        <v>18253.0</v>
      </c>
      <c r="AL258" s="21" t="s">
        <v>1423</v>
      </c>
      <c r="AM258" s="16"/>
      <c r="AN258" s="16"/>
      <c r="AO258" s="23"/>
      <c r="AP258" s="16" t="s">
        <v>76</v>
      </c>
      <c r="AQ258" s="16">
        <v>4243.0</v>
      </c>
      <c r="AR258" s="16"/>
      <c r="AS258" s="11" t="s">
        <v>374</v>
      </c>
      <c r="AT258" s="11" t="s">
        <v>985</v>
      </c>
      <c r="AU258" s="11" t="s">
        <v>2169</v>
      </c>
      <c r="AV258" s="11">
        <v>5.244863E7</v>
      </c>
      <c r="AW258" s="11" t="s">
        <v>99</v>
      </c>
      <c r="AX258" s="11">
        <v>1.149924264E9</v>
      </c>
      <c r="AY258" s="11" t="s">
        <v>2166</v>
      </c>
      <c r="AZ258" s="24">
        <v>41049.0</v>
      </c>
      <c r="BA258" s="11" t="s">
        <v>751</v>
      </c>
      <c r="BB258" s="11" t="s">
        <v>81</v>
      </c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</row>
    <row r="259" ht="19.5" customHeight="1">
      <c r="A259" s="10" t="b">
        <v>0</v>
      </c>
      <c r="B259" s="11"/>
      <c r="C259" s="13" t="s">
        <v>59</v>
      </c>
      <c r="D259" s="14" t="s">
        <v>60</v>
      </c>
      <c r="E259" s="11"/>
      <c r="F259" s="15" t="s">
        <v>4</v>
      </c>
      <c r="G259" s="16">
        <v>241.0</v>
      </c>
      <c r="H259" s="16"/>
      <c r="I259" s="16">
        <v>46964.0</v>
      </c>
      <c r="J259" s="11" t="s">
        <v>61</v>
      </c>
      <c r="K259" s="11" t="s">
        <v>62</v>
      </c>
      <c r="L259" s="18">
        <v>46285.735983796294</v>
      </c>
      <c r="M259" s="18">
        <v>46285.73604166666</v>
      </c>
      <c r="N259" s="11" t="s">
        <v>63</v>
      </c>
      <c r="O259" s="11">
        <v>0.0</v>
      </c>
      <c r="P259" s="11" t="s">
        <v>130</v>
      </c>
      <c r="Q259" s="11" t="s">
        <v>2170</v>
      </c>
      <c r="R259" s="11"/>
      <c r="S259" s="11" t="s">
        <v>2171</v>
      </c>
      <c r="T259" s="11">
        <v>1048.0</v>
      </c>
      <c r="U259" s="11" t="s">
        <v>158</v>
      </c>
      <c r="V259" s="11" t="s">
        <v>68</v>
      </c>
      <c r="W259" s="11">
        <v>1640.0</v>
      </c>
      <c r="X259" s="11" t="s">
        <v>69</v>
      </c>
      <c r="Y259" s="11" t="s">
        <v>2172</v>
      </c>
      <c r="Z259" s="11">
        <v>5.491122503206E12</v>
      </c>
      <c r="AA259" s="11" t="s">
        <v>71</v>
      </c>
      <c r="AB259" s="11"/>
      <c r="AC259" s="11"/>
      <c r="AD259" s="18">
        <v>46285.73604166666</v>
      </c>
      <c r="AE259" s="11" t="s">
        <v>2173</v>
      </c>
      <c r="AF259" s="11" t="s">
        <v>2174</v>
      </c>
      <c r="AG259" s="18">
        <v>46285.860983796294</v>
      </c>
      <c r="AH259" s="18">
        <v>46285.86104166666</v>
      </c>
      <c r="AI259" s="11"/>
      <c r="AJ259" s="18">
        <v>46285.86104166666</v>
      </c>
      <c r="AK259" s="11">
        <v>18253.0</v>
      </c>
      <c r="AL259" s="21" t="s">
        <v>1423</v>
      </c>
      <c r="AM259" s="16" t="s">
        <v>1426</v>
      </c>
      <c r="AN259" s="16"/>
      <c r="AO259" s="23">
        <v>4094.0</v>
      </c>
      <c r="AP259" s="16" t="s">
        <v>76</v>
      </c>
      <c r="AQ259" s="16">
        <v>3741.0</v>
      </c>
      <c r="AR259" s="16"/>
      <c r="AS259" s="11" t="s">
        <v>251</v>
      </c>
      <c r="AT259" s="11" t="s">
        <v>1243</v>
      </c>
      <c r="AU259" s="11" t="s">
        <v>2175</v>
      </c>
      <c r="AV259" s="11">
        <v>5.1706676E7</v>
      </c>
      <c r="AW259" s="11" t="s">
        <v>99</v>
      </c>
      <c r="AX259" s="11">
        <v>1.168509433E9</v>
      </c>
      <c r="AY259" s="11" t="s">
        <v>2176</v>
      </c>
      <c r="AZ259" s="24">
        <v>42161.0</v>
      </c>
      <c r="BA259" s="11" t="s">
        <v>100</v>
      </c>
      <c r="BB259" s="11" t="s">
        <v>101</v>
      </c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</row>
    <row r="260" ht="19.5" customHeight="1">
      <c r="A260" s="10" t="b">
        <v>0</v>
      </c>
      <c r="B260" s="11"/>
      <c r="C260" s="13" t="s">
        <v>60</v>
      </c>
      <c r="D260" s="14" t="s">
        <v>60</v>
      </c>
      <c r="E260" s="11"/>
      <c r="F260" s="15" t="s">
        <v>4</v>
      </c>
      <c r="G260" s="16">
        <v>244.0</v>
      </c>
      <c r="H260" s="16"/>
      <c r="I260" s="16">
        <v>46967.0</v>
      </c>
      <c r="J260" s="11" t="s">
        <v>61</v>
      </c>
      <c r="K260" s="11" t="s">
        <v>62</v>
      </c>
      <c r="L260" s="18">
        <v>46285.77006944444</v>
      </c>
      <c r="M260" s="18">
        <v>46285.77011574074</v>
      </c>
      <c r="N260" s="11" t="s">
        <v>63</v>
      </c>
      <c r="O260" s="11">
        <v>0.0</v>
      </c>
      <c r="P260" s="11" t="s">
        <v>2177</v>
      </c>
      <c r="Q260" s="11" t="s">
        <v>2178</v>
      </c>
      <c r="R260" s="11"/>
      <c r="S260" s="11" t="s">
        <v>2179</v>
      </c>
      <c r="T260" s="11"/>
      <c r="U260" s="11" t="s">
        <v>234</v>
      </c>
      <c r="V260" s="11" t="s">
        <v>68</v>
      </c>
      <c r="W260" s="11">
        <v>1644.0</v>
      </c>
      <c r="X260" s="11" t="s">
        <v>69</v>
      </c>
      <c r="Y260" s="11" t="s">
        <v>2180</v>
      </c>
      <c r="Z260" s="11">
        <v>9.1159278173E10</v>
      </c>
      <c r="AA260" s="11" t="s">
        <v>71</v>
      </c>
      <c r="AB260" s="11"/>
      <c r="AC260" s="11"/>
      <c r="AD260" s="18">
        <v>46285.77011574074</v>
      </c>
      <c r="AE260" s="11" t="s">
        <v>2181</v>
      </c>
      <c r="AF260" s="11" t="s">
        <v>2182</v>
      </c>
      <c r="AG260" s="18">
        <v>46285.89506944444</v>
      </c>
      <c r="AH260" s="18">
        <v>46285.89511574074</v>
      </c>
      <c r="AI260" s="11"/>
      <c r="AJ260" s="18">
        <v>46285.89511574074</v>
      </c>
      <c r="AK260" s="11">
        <v>18253.0</v>
      </c>
      <c r="AL260" s="21" t="s">
        <v>1423</v>
      </c>
      <c r="AM260" s="16"/>
      <c r="AN260" s="16"/>
      <c r="AO260" s="23"/>
      <c r="AP260" s="16" t="s">
        <v>76</v>
      </c>
      <c r="AQ260" s="16">
        <v>4133.0</v>
      </c>
      <c r="AR260" s="16"/>
      <c r="AS260" s="10" t="s">
        <v>1811</v>
      </c>
      <c r="AT260" s="11" t="s">
        <v>536</v>
      </c>
      <c r="AU260" s="11" t="s">
        <v>2183</v>
      </c>
      <c r="AV260" s="11">
        <v>5.1431844E7</v>
      </c>
      <c r="AW260" s="11" t="s">
        <v>99</v>
      </c>
      <c r="AX260" s="11">
        <v>9.1159278173E10</v>
      </c>
      <c r="AY260" s="11" t="s">
        <v>2180</v>
      </c>
      <c r="AZ260" s="24">
        <v>40828.0</v>
      </c>
      <c r="BA260" s="11" t="s">
        <v>144</v>
      </c>
      <c r="BB260" s="11" t="s">
        <v>349</v>
      </c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</row>
    <row r="261" ht="19.5" customHeight="1">
      <c r="A261" s="10" t="b">
        <v>0</v>
      </c>
      <c r="B261" s="11"/>
      <c r="C261" s="13" t="s">
        <v>59</v>
      </c>
      <c r="D261" s="14" t="s">
        <v>60</v>
      </c>
      <c r="E261" s="11"/>
      <c r="F261" s="15" t="s">
        <v>4</v>
      </c>
      <c r="G261" s="16">
        <v>245.0</v>
      </c>
      <c r="H261" s="16"/>
      <c r="I261" s="16">
        <v>46968.0</v>
      </c>
      <c r="J261" s="11" t="s">
        <v>61</v>
      </c>
      <c r="K261" s="11" t="s">
        <v>62</v>
      </c>
      <c r="L261" s="18">
        <v>46285.77270833333</v>
      </c>
      <c r="M261" s="18">
        <v>46285.77275462963</v>
      </c>
      <c r="N261" s="11" t="s">
        <v>63</v>
      </c>
      <c r="O261" s="11">
        <v>0.0</v>
      </c>
      <c r="P261" s="11" t="s">
        <v>2177</v>
      </c>
      <c r="Q261" s="11" t="s">
        <v>2178</v>
      </c>
      <c r="R261" s="11"/>
      <c r="S261" s="11" t="s">
        <v>2179</v>
      </c>
      <c r="T261" s="11"/>
      <c r="U261" s="11" t="s">
        <v>234</v>
      </c>
      <c r="V261" s="11" t="s">
        <v>68</v>
      </c>
      <c r="W261" s="11">
        <v>1644.0</v>
      </c>
      <c r="X261" s="11" t="s">
        <v>69</v>
      </c>
      <c r="Y261" s="11" t="s">
        <v>2180</v>
      </c>
      <c r="Z261" s="11">
        <v>9.1159278173E10</v>
      </c>
      <c r="AA261" s="11" t="s">
        <v>71</v>
      </c>
      <c r="AB261" s="11"/>
      <c r="AC261" s="11"/>
      <c r="AD261" s="18">
        <v>46285.77275462963</v>
      </c>
      <c r="AE261" s="11" t="s">
        <v>2184</v>
      </c>
      <c r="AF261" s="11" t="s">
        <v>2185</v>
      </c>
      <c r="AG261" s="18">
        <v>46285.89770833333</v>
      </c>
      <c r="AH261" s="18">
        <v>46285.89775462963</v>
      </c>
      <c r="AI261" s="11"/>
      <c r="AJ261" s="18">
        <v>46285.89775462963</v>
      </c>
      <c r="AK261" s="11">
        <v>18253.0</v>
      </c>
      <c r="AL261" s="21" t="s">
        <v>1423</v>
      </c>
      <c r="AM261" s="16" t="s">
        <v>1426</v>
      </c>
      <c r="AN261" s="16"/>
      <c r="AO261" s="23"/>
      <c r="AP261" s="16" t="s">
        <v>76</v>
      </c>
      <c r="AQ261" s="16">
        <v>4056.0</v>
      </c>
      <c r="AR261" s="16"/>
      <c r="AS261" s="11" t="s">
        <v>298</v>
      </c>
      <c r="AT261" s="11" t="s">
        <v>588</v>
      </c>
      <c r="AU261" s="11" t="s">
        <v>2183</v>
      </c>
      <c r="AV261" s="11">
        <v>5.4520706E7</v>
      </c>
      <c r="AW261" s="11" t="s">
        <v>99</v>
      </c>
      <c r="AX261" s="11">
        <v>9.1159278173E10</v>
      </c>
      <c r="AY261" s="11" t="s">
        <v>2180</v>
      </c>
      <c r="AZ261" s="24">
        <v>42012.0</v>
      </c>
      <c r="BA261" s="11" t="s">
        <v>144</v>
      </c>
      <c r="BB261" s="11" t="s">
        <v>81</v>
      </c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</row>
    <row r="262" ht="19.5" customHeight="1">
      <c r="A262" s="10" t="b">
        <v>0</v>
      </c>
      <c r="B262" s="11"/>
      <c r="C262" s="13" t="s">
        <v>59</v>
      </c>
      <c r="D262" s="14" t="s">
        <v>60</v>
      </c>
      <c r="E262" s="11"/>
      <c r="F262" s="15" t="s">
        <v>4</v>
      </c>
      <c r="G262" s="16">
        <v>246.0</v>
      </c>
      <c r="H262" s="16"/>
      <c r="I262" s="16">
        <v>46969.0</v>
      </c>
      <c r="J262" s="11" t="s">
        <v>61</v>
      </c>
      <c r="K262" s="11" t="s">
        <v>62</v>
      </c>
      <c r="L262" s="18">
        <v>46285.781539351854</v>
      </c>
      <c r="M262" s="18">
        <v>46285.78159722222</v>
      </c>
      <c r="N262" s="11" t="s">
        <v>63</v>
      </c>
      <c r="O262" s="11">
        <v>0.0</v>
      </c>
      <c r="P262" s="11" t="s">
        <v>2186</v>
      </c>
      <c r="Q262" s="11" t="s">
        <v>2187</v>
      </c>
      <c r="R262" s="11"/>
      <c r="S262" s="11" t="s">
        <v>2188</v>
      </c>
      <c r="T262" s="11"/>
      <c r="U262" s="11" t="s">
        <v>2189</v>
      </c>
      <c r="V262" s="11" t="s">
        <v>126</v>
      </c>
      <c r="W262" s="11" t="s">
        <v>2190</v>
      </c>
      <c r="X262" s="11" t="s">
        <v>69</v>
      </c>
      <c r="Y262" s="11" t="s">
        <v>2191</v>
      </c>
      <c r="Z262" s="11">
        <v>5.491164117291E12</v>
      </c>
      <c r="AA262" s="11" t="s">
        <v>71</v>
      </c>
      <c r="AB262" s="11"/>
      <c r="AC262" s="11"/>
      <c r="AD262" s="18">
        <v>46285.78159722222</v>
      </c>
      <c r="AE262" s="11" t="s">
        <v>2192</v>
      </c>
      <c r="AF262" s="11" t="s">
        <v>2193</v>
      </c>
      <c r="AG262" s="18">
        <v>46285.906539351854</v>
      </c>
      <c r="AH262" s="18">
        <v>46285.90659722222</v>
      </c>
      <c r="AI262" s="11"/>
      <c r="AJ262" s="18">
        <v>46285.90659722222</v>
      </c>
      <c r="AK262" s="11">
        <v>18253.0</v>
      </c>
      <c r="AL262" s="21" t="s">
        <v>1423</v>
      </c>
      <c r="AM262" s="16"/>
      <c r="AN262" s="16"/>
      <c r="AO262" s="23"/>
      <c r="AP262" s="16" t="s">
        <v>76</v>
      </c>
      <c r="AQ262" s="16">
        <v>3995.0</v>
      </c>
      <c r="AR262" s="16"/>
      <c r="AS262" s="11" t="s">
        <v>197</v>
      </c>
      <c r="AT262" s="11" t="s">
        <v>2194</v>
      </c>
      <c r="AU262" s="11" t="s">
        <v>2187</v>
      </c>
      <c r="AV262" s="11">
        <v>5.2861772E7</v>
      </c>
      <c r="AW262" s="11" t="s">
        <v>99</v>
      </c>
      <c r="AX262" s="11">
        <v>1.164117291E9</v>
      </c>
      <c r="AY262" s="11" t="s">
        <v>2191</v>
      </c>
      <c r="AZ262" s="24">
        <v>41269.0</v>
      </c>
      <c r="BA262" s="11" t="s">
        <v>121</v>
      </c>
      <c r="BB262" s="11" t="s">
        <v>81</v>
      </c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</row>
    <row r="263" ht="19.5" customHeight="1">
      <c r="A263" s="10" t="b">
        <v>0</v>
      </c>
      <c r="B263" s="11"/>
      <c r="C263" s="13" t="s">
        <v>60</v>
      </c>
      <c r="D263" s="14" t="s">
        <v>60</v>
      </c>
      <c r="E263" s="11"/>
      <c r="F263" s="15" t="s">
        <v>4</v>
      </c>
      <c r="G263" s="16">
        <v>251.0</v>
      </c>
      <c r="H263" s="16"/>
      <c r="I263" s="16">
        <v>46974.0</v>
      </c>
      <c r="J263" s="11" t="s">
        <v>61</v>
      </c>
      <c r="K263" s="11" t="s">
        <v>62</v>
      </c>
      <c r="L263" s="18">
        <v>46285.83238425926</v>
      </c>
      <c r="M263" s="18">
        <v>46285.83243055556</v>
      </c>
      <c r="N263" s="11" t="s">
        <v>63</v>
      </c>
      <c r="O263" s="11">
        <v>0.0</v>
      </c>
      <c r="P263" s="11" t="s">
        <v>2195</v>
      </c>
      <c r="Q263" s="11" t="s">
        <v>2196</v>
      </c>
      <c r="R263" s="11"/>
      <c r="S263" s="11" t="s">
        <v>2197</v>
      </c>
      <c r="T263" s="11" t="s">
        <v>2198</v>
      </c>
      <c r="U263" s="11" t="s">
        <v>643</v>
      </c>
      <c r="V263" s="11" t="s">
        <v>101</v>
      </c>
      <c r="W263" s="11">
        <v>2000.0</v>
      </c>
      <c r="X263" s="11" t="s">
        <v>69</v>
      </c>
      <c r="Y263" s="11" t="s">
        <v>2199</v>
      </c>
      <c r="Z263" s="11">
        <v>3.41563209E9</v>
      </c>
      <c r="AA263" s="11" t="s">
        <v>71</v>
      </c>
      <c r="AB263" s="11"/>
      <c r="AC263" s="11"/>
      <c r="AD263" s="18">
        <v>46285.83243055556</v>
      </c>
      <c r="AE263" s="11" t="s">
        <v>2200</v>
      </c>
      <c r="AF263" s="11" t="s">
        <v>2201</v>
      </c>
      <c r="AG263" s="18">
        <v>46285.95738425926</v>
      </c>
      <c r="AH263" s="18">
        <v>46285.95743055556</v>
      </c>
      <c r="AI263" s="11"/>
      <c r="AJ263" s="18">
        <v>46285.95743055556</v>
      </c>
      <c r="AK263" s="11">
        <v>18253.0</v>
      </c>
      <c r="AL263" s="21" t="s">
        <v>1423</v>
      </c>
      <c r="AM263" s="16"/>
      <c r="AN263" s="14" t="s">
        <v>39</v>
      </c>
      <c r="AO263" s="23"/>
      <c r="AP263" s="16" t="s">
        <v>76</v>
      </c>
      <c r="AQ263" s="16">
        <v>4295.0</v>
      </c>
      <c r="AR263" s="16"/>
      <c r="AS263" s="11" t="s">
        <v>648</v>
      </c>
      <c r="AT263" s="11" t="s">
        <v>423</v>
      </c>
      <c r="AU263" s="11" t="s">
        <v>2202</v>
      </c>
      <c r="AV263" s="11">
        <v>5.3185733E7</v>
      </c>
      <c r="AW263" s="11" t="s">
        <v>79</v>
      </c>
      <c r="AX263" s="11">
        <v>3.417512007E9</v>
      </c>
      <c r="AY263" s="11" t="s">
        <v>2203</v>
      </c>
      <c r="AZ263" s="24">
        <v>41335.0</v>
      </c>
      <c r="BA263" s="11" t="s">
        <v>230</v>
      </c>
      <c r="BB263" s="11" t="s">
        <v>101</v>
      </c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</row>
    <row r="264" ht="19.5" customHeight="1">
      <c r="A264" s="10" t="b">
        <v>0</v>
      </c>
      <c r="B264" s="11"/>
      <c r="C264" s="13" t="s">
        <v>59</v>
      </c>
      <c r="D264" s="14" t="s">
        <v>60</v>
      </c>
      <c r="E264" s="11"/>
      <c r="F264" s="15" t="s">
        <v>4</v>
      </c>
      <c r="G264" s="16">
        <v>252.0</v>
      </c>
      <c r="H264" s="16"/>
      <c r="I264" s="16">
        <v>46975.0</v>
      </c>
      <c r="J264" s="11" t="s">
        <v>61</v>
      </c>
      <c r="K264" s="11" t="s">
        <v>62</v>
      </c>
      <c r="L264" s="18">
        <v>46285.83707175926</v>
      </c>
      <c r="M264" s="18">
        <v>46285.83712962963</v>
      </c>
      <c r="N264" s="11" t="s">
        <v>63</v>
      </c>
      <c r="O264" s="11">
        <v>0.0</v>
      </c>
      <c r="P264" s="11" t="s">
        <v>416</v>
      </c>
      <c r="Q264" s="11" t="s">
        <v>2204</v>
      </c>
      <c r="R264" s="11"/>
      <c r="S264" s="11" t="s">
        <v>2205</v>
      </c>
      <c r="T264" s="11">
        <v>12.0</v>
      </c>
      <c r="U264" s="11" t="s">
        <v>643</v>
      </c>
      <c r="V264" s="11" t="s">
        <v>101</v>
      </c>
      <c r="W264" s="11">
        <v>2000.0</v>
      </c>
      <c r="X264" s="11" t="s">
        <v>69</v>
      </c>
      <c r="Y264" s="11" t="s">
        <v>2206</v>
      </c>
      <c r="Z264" s="11">
        <v>3.416251616E9</v>
      </c>
      <c r="AA264" s="11" t="s">
        <v>71</v>
      </c>
      <c r="AB264" s="11"/>
      <c r="AC264" s="11"/>
      <c r="AD264" s="11"/>
      <c r="AE264" s="11" t="s">
        <v>2207</v>
      </c>
      <c r="AF264" s="11" t="s">
        <v>2208</v>
      </c>
      <c r="AG264" s="18">
        <v>46285.96207175926</v>
      </c>
      <c r="AH264" s="18">
        <v>46285.96212962963</v>
      </c>
      <c r="AI264" s="11"/>
      <c r="AJ264" s="11"/>
      <c r="AK264" s="11">
        <v>18253.0</v>
      </c>
      <c r="AL264" s="21" t="s">
        <v>1423</v>
      </c>
      <c r="AM264" s="16"/>
      <c r="AN264" s="14" t="s">
        <v>39</v>
      </c>
      <c r="AO264" s="23"/>
      <c r="AP264" s="16" t="s">
        <v>76</v>
      </c>
      <c r="AQ264" s="16">
        <v>4038.0</v>
      </c>
      <c r="AR264" s="16"/>
      <c r="AS264" s="11" t="s">
        <v>810</v>
      </c>
      <c r="AT264" s="11" t="s">
        <v>1234</v>
      </c>
      <c r="AU264" s="11" t="s">
        <v>2204</v>
      </c>
      <c r="AV264" s="11">
        <v>5.4116095E7</v>
      </c>
      <c r="AW264" s="11" t="s">
        <v>79</v>
      </c>
      <c r="AX264" s="11">
        <v>3.416251616E9</v>
      </c>
      <c r="AY264" s="11" t="s">
        <v>2206</v>
      </c>
      <c r="AZ264" s="24">
        <v>41811.0</v>
      </c>
      <c r="BA264" s="11" t="s">
        <v>651</v>
      </c>
      <c r="BB264" s="11" t="s">
        <v>81</v>
      </c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</row>
    <row r="265" ht="19.5" customHeight="1">
      <c r="A265" s="10" t="b">
        <v>0</v>
      </c>
      <c r="B265" s="11"/>
      <c r="C265" s="13" t="s">
        <v>60</v>
      </c>
      <c r="D265" s="14" t="s">
        <v>60</v>
      </c>
      <c r="E265" s="11"/>
      <c r="F265" s="15" t="s">
        <v>4</v>
      </c>
      <c r="G265" s="16">
        <v>255.0</v>
      </c>
      <c r="H265" s="16"/>
      <c r="I265" s="16">
        <v>46978.0</v>
      </c>
      <c r="J265" s="11" t="s">
        <v>61</v>
      </c>
      <c r="K265" s="11" t="s">
        <v>62</v>
      </c>
      <c r="L265" s="18">
        <v>46285.846967592595</v>
      </c>
      <c r="M265" s="18">
        <v>46285.847037037034</v>
      </c>
      <c r="N265" s="11" t="s">
        <v>63</v>
      </c>
      <c r="O265" s="11">
        <v>0.0</v>
      </c>
      <c r="P265" s="11" t="s">
        <v>985</v>
      </c>
      <c r="Q265" s="11" t="s">
        <v>2209</v>
      </c>
      <c r="R265" s="11"/>
      <c r="S265" s="11" t="s">
        <v>2210</v>
      </c>
      <c r="T265" s="11"/>
      <c r="U265" s="11" t="s">
        <v>2211</v>
      </c>
      <c r="V265" s="11" t="s">
        <v>224</v>
      </c>
      <c r="W265" s="11">
        <v>8400.0</v>
      </c>
      <c r="X265" s="11" t="s">
        <v>69</v>
      </c>
      <c r="Y265" s="11" t="s">
        <v>2212</v>
      </c>
      <c r="Z265" s="11">
        <v>2.944333828E9</v>
      </c>
      <c r="AA265" s="11" t="s">
        <v>71</v>
      </c>
      <c r="AB265" s="11"/>
      <c r="AC265" s="11"/>
      <c r="AD265" s="18">
        <v>46285.847037037034</v>
      </c>
      <c r="AE265" s="11" t="s">
        <v>2213</v>
      </c>
      <c r="AF265" s="11" t="s">
        <v>2214</v>
      </c>
      <c r="AG265" s="18">
        <v>46285.971967592595</v>
      </c>
      <c r="AH265" s="18">
        <v>46285.972037037034</v>
      </c>
      <c r="AI265" s="11"/>
      <c r="AJ265" s="18">
        <v>46285.972037037034</v>
      </c>
      <c r="AK265" s="11">
        <v>18253.0</v>
      </c>
      <c r="AL265" s="21" t="s">
        <v>1423</v>
      </c>
      <c r="AM265" s="16" t="s">
        <v>1426</v>
      </c>
      <c r="AN265" s="14" t="s">
        <v>39</v>
      </c>
      <c r="AO265" s="23" t="s">
        <v>2215</v>
      </c>
      <c r="AP265" s="16" t="s">
        <v>76</v>
      </c>
      <c r="AQ265" s="16">
        <v>3604.0</v>
      </c>
      <c r="AR265" s="16"/>
      <c r="AS265" s="11" t="s">
        <v>2138</v>
      </c>
      <c r="AT265" s="11" t="s">
        <v>876</v>
      </c>
      <c r="AU265" s="11" t="s">
        <v>2209</v>
      </c>
      <c r="AV265" s="11">
        <v>5.4547594E7</v>
      </c>
      <c r="AW265" s="11" t="s">
        <v>79</v>
      </c>
      <c r="AX265" s="11">
        <v>2.944333828E9</v>
      </c>
      <c r="AY265" s="11" t="s">
        <v>2212</v>
      </c>
      <c r="AZ265" s="24">
        <v>42029.0</v>
      </c>
      <c r="BA265" s="11" t="s">
        <v>2216</v>
      </c>
      <c r="BB265" s="11" t="s">
        <v>101</v>
      </c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</row>
    <row r="266" ht="19.5" customHeight="1">
      <c r="A266" s="10" t="b">
        <v>0</v>
      </c>
      <c r="B266" s="11"/>
      <c r="C266" s="13" t="s">
        <v>60</v>
      </c>
      <c r="D266" s="14" t="s">
        <v>60</v>
      </c>
      <c r="E266" s="11"/>
      <c r="F266" s="15" t="s">
        <v>4</v>
      </c>
      <c r="G266" s="16">
        <v>258.0</v>
      </c>
      <c r="H266" s="16"/>
      <c r="I266" s="16">
        <v>46981.0</v>
      </c>
      <c r="J266" s="11" t="s">
        <v>61</v>
      </c>
      <c r="K266" s="11" t="s">
        <v>62</v>
      </c>
      <c r="L266" s="18">
        <v>46285.87012731482</v>
      </c>
      <c r="M266" s="18">
        <v>46285.87018518519</v>
      </c>
      <c r="N266" s="11" t="s">
        <v>63</v>
      </c>
      <c r="O266" s="11">
        <v>0.0</v>
      </c>
      <c r="P266" s="11" t="s">
        <v>1883</v>
      </c>
      <c r="Q266" s="11" t="s">
        <v>2217</v>
      </c>
      <c r="R266" s="11"/>
      <c r="S266" s="11" t="s">
        <v>2218</v>
      </c>
      <c r="T266" s="11" t="s">
        <v>2219</v>
      </c>
      <c r="U266" s="11" t="s">
        <v>2211</v>
      </c>
      <c r="V266" s="11" t="s">
        <v>224</v>
      </c>
      <c r="W266" s="11">
        <v>8400.0</v>
      </c>
      <c r="X266" s="11" t="s">
        <v>69</v>
      </c>
      <c r="Y266" s="11" t="s">
        <v>2220</v>
      </c>
      <c r="Z266" s="11">
        <v>2.9445333E9</v>
      </c>
      <c r="AA266" s="11" t="s">
        <v>71</v>
      </c>
      <c r="AB266" s="11"/>
      <c r="AC266" s="11"/>
      <c r="AD266" s="11"/>
      <c r="AE266" s="11" t="s">
        <v>2221</v>
      </c>
      <c r="AF266" s="11" t="s">
        <v>2222</v>
      </c>
      <c r="AG266" s="18">
        <v>46285.99512731482</v>
      </c>
      <c r="AH266" s="18">
        <v>46285.99518518519</v>
      </c>
      <c r="AI266" s="11"/>
      <c r="AJ266" s="11"/>
      <c r="AK266" s="11">
        <v>18253.0</v>
      </c>
      <c r="AL266" s="21" t="s">
        <v>1423</v>
      </c>
      <c r="AM266" s="16"/>
      <c r="AN266" s="14" t="s">
        <v>39</v>
      </c>
      <c r="AO266" s="23"/>
      <c r="AP266" s="16" t="s">
        <v>76</v>
      </c>
      <c r="AQ266" s="16">
        <v>4233.0</v>
      </c>
      <c r="AR266" s="16"/>
      <c r="AS266" s="11" t="s">
        <v>2138</v>
      </c>
      <c r="AT266" s="11" t="s">
        <v>1883</v>
      </c>
      <c r="AU266" s="11" t="s">
        <v>2217</v>
      </c>
      <c r="AV266" s="11">
        <v>5.1416663E7</v>
      </c>
      <c r="AW266" s="11" t="s">
        <v>79</v>
      </c>
      <c r="AX266" s="11">
        <v>2.9445333E9</v>
      </c>
      <c r="AY266" s="11" t="s">
        <v>2220</v>
      </c>
      <c r="AZ266" s="41">
        <v>40840.0</v>
      </c>
      <c r="BA266" s="11" t="s">
        <v>100</v>
      </c>
      <c r="BB266" s="11" t="s">
        <v>101</v>
      </c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</row>
    <row r="267" ht="19.5" customHeight="1">
      <c r="A267" s="10" t="b">
        <v>0</v>
      </c>
      <c r="B267" s="11"/>
      <c r="C267" s="13" t="s">
        <v>59</v>
      </c>
      <c r="D267" s="14" t="s">
        <v>60</v>
      </c>
      <c r="E267" s="11"/>
      <c r="F267" s="15" t="s">
        <v>4</v>
      </c>
      <c r="G267" s="16">
        <v>259.0</v>
      </c>
      <c r="H267" s="16"/>
      <c r="I267" s="16">
        <v>46982.0</v>
      </c>
      <c r="J267" s="11" t="s">
        <v>61</v>
      </c>
      <c r="K267" s="11" t="s">
        <v>62</v>
      </c>
      <c r="L267" s="18">
        <v>46285.878333333334</v>
      </c>
      <c r="M267" s="18">
        <v>46285.8783912037</v>
      </c>
      <c r="N267" s="11" t="s">
        <v>63</v>
      </c>
      <c r="O267" s="11">
        <v>0.0</v>
      </c>
      <c r="P267" s="11" t="s">
        <v>2223</v>
      </c>
      <c r="Q267" s="11" t="s">
        <v>2224</v>
      </c>
      <c r="R267" s="11"/>
      <c r="S267" s="11" t="s">
        <v>2225</v>
      </c>
      <c r="T267" s="11"/>
      <c r="U267" s="11" t="s">
        <v>2226</v>
      </c>
      <c r="V267" s="11" t="s">
        <v>101</v>
      </c>
      <c r="W267" s="11">
        <v>2121.0</v>
      </c>
      <c r="X267" s="11" t="s">
        <v>69</v>
      </c>
      <c r="Y267" s="11" t="s">
        <v>2227</v>
      </c>
      <c r="Z267" s="11">
        <v>5.43416946202E11</v>
      </c>
      <c r="AA267" s="11" t="s">
        <v>71</v>
      </c>
      <c r="AB267" s="11"/>
      <c r="AC267" s="11"/>
      <c r="AD267" s="18">
        <v>46285.8783912037</v>
      </c>
      <c r="AE267" s="11" t="s">
        <v>2228</v>
      </c>
      <c r="AF267" s="11" t="s">
        <v>2229</v>
      </c>
      <c r="AG267" s="18">
        <v>46286.003333333334</v>
      </c>
      <c r="AH267" s="18">
        <v>46286.0033912037</v>
      </c>
      <c r="AI267" s="11"/>
      <c r="AJ267" s="18">
        <v>46286.0033912037</v>
      </c>
      <c r="AK267" s="11">
        <v>18253.0</v>
      </c>
      <c r="AL267" s="21" t="s">
        <v>1423</v>
      </c>
      <c r="AM267" s="16"/>
      <c r="AN267" s="14" t="s">
        <v>39</v>
      </c>
      <c r="AO267" s="23"/>
      <c r="AP267" s="16" t="s">
        <v>76</v>
      </c>
      <c r="AQ267" s="16">
        <v>4234.0</v>
      </c>
      <c r="AR267" s="16"/>
      <c r="AS267" s="11" t="s">
        <v>810</v>
      </c>
      <c r="AT267" s="11" t="s">
        <v>621</v>
      </c>
      <c r="AU267" s="11" t="s">
        <v>2230</v>
      </c>
      <c r="AV267" s="11">
        <v>5.27552E7</v>
      </c>
      <c r="AW267" s="11" t="s">
        <v>79</v>
      </c>
      <c r="AX267" s="11">
        <v>3.416946202E9</v>
      </c>
      <c r="AY267" s="11" t="s">
        <v>2227</v>
      </c>
      <c r="AZ267" s="24">
        <v>41158.0</v>
      </c>
      <c r="BA267" s="11" t="s">
        <v>2231</v>
      </c>
      <c r="BB267" s="11" t="s">
        <v>81</v>
      </c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</row>
    <row r="268" ht="19.5" customHeight="1">
      <c r="A268" s="10" t="b">
        <v>0</v>
      </c>
      <c r="B268" s="11"/>
      <c r="C268" s="13" t="s">
        <v>59</v>
      </c>
      <c r="D268" s="14" t="s">
        <v>60</v>
      </c>
      <c r="E268" s="11"/>
      <c r="F268" s="15" t="s">
        <v>4</v>
      </c>
      <c r="G268" s="16">
        <v>261.0</v>
      </c>
      <c r="H268" s="16"/>
      <c r="I268" s="16">
        <v>46984.0</v>
      </c>
      <c r="J268" s="11" t="s">
        <v>61</v>
      </c>
      <c r="K268" s="11" t="s">
        <v>62</v>
      </c>
      <c r="L268" s="18">
        <v>46285.88350694445</v>
      </c>
      <c r="M268" s="18">
        <v>46285.88355324074</v>
      </c>
      <c r="N268" s="11" t="s">
        <v>63</v>
      </c>
      <c r="O268" s="11">
        <v>0.0</v>
      </c>
      <c r="P268" s="11" t="s">
        <v>614</v>
      </c>
      <c r="Q268" s="11" t="s">
        <v>615</v>
      </c>
      <c r="R268" s="11"/>
      <c r="S268" s="11" t="s">
        <v>616</v>
      </c>
      <c r="T268" s="11"/>
      <c r="U268" s="11" t="s">
        <v>617</v>
      </c>
      <c r="V268" s="11" t="s">
        <v>68</v>
      </c>
      <c r="W268" s="11">
        <v>1686.0</v>
      </c>
      <c r="X268" s="11" t="s">
        <v>69</v>
      </c>
      <c r="Y268" s="11" t="s">
        <v>618</v>
      </c>
      <c r="Z268" s="11">
        <v>1.140488904E9</v>
      </c>
      <c r="AA268" s="11" t="s">
        <v>71</v>
      </c>
      <c r="AB268" s="11"/>
      <c r="AC268" s="11"/>
      <c r="AD268" s="11"/>
      <c r="AE268" s="11" t="s">
        <v>2232</v>
      </c>
      <c r="AF268" s="11" t="s">
        <v>2233</v>
      </c>
      <c r="AG268" s="18">
        <v>46286.00850694445</v>
      </c>
      <c r="AH268" s="18">
        <v>46286.00855324074</v>
      </c>
      <c r="AI268" s="11"/>
      <c r="AJ268" s="11"/>
      <c r="AK268" s="11">
        <v>18253.0</v>
      </c>
      <c r="AL268" s="21" t="s">
        <v>1423</v>
      </c>
      <c r="AM268" s="16"/>
      <c r="AN268" s="14" t="s">
        <v>39</v>
      </c>
      <c r="AO268" s="23"/>
      <c r="AP268" s="16" t="s">
        <v>76</v>
      </c>
      <c r="AQ268" s="16">
        <v>4058.0</v>
      </c>
      <c r="AR268" s="16"/>
      <c r="AS268" s="11" t="s">
        <v>298</v>
      </c>
      <c r="AT268" s="11" t="s">
        <v>876</v>
      </c>
      <c r="AU268" s="11" t="s">
        <v>622</v>
      </c>
      <c r="AV268" s="11">
        <v>5.2954005E7</v>
      </c>
      <c r="AW268" s="11" t="s">
        <v>79</v>
      </c>
      <c r="AX268" s="11">
        <v>1.140488904E9</v>
      </c>
      <c r="AY268" s="11" t="s">
        <v>623</v>
      </c>
      <c r="AZ268" s="24">
        <v>41269.0</v>
      </c>
      <c r="BA268" s="11" t="s">
        <v>144</v>
      </c>
      <c r="BB268" s="11" t="s">
        <v>81</v>
      </c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</row>
    <row r="269" ht="19.5" customHeight="1">
      <c r="A269" s="10" t="b">
        <v>0</v>
      </c>
      <c r="B269" s="11"/>
      <c r="C269" s="13" t="s">
        <v>59</v>
      </c>
      <c r="D269" s="14" t="s">
        <v>60</v>
      </c>
      <c r="E269" s="11"/>
      <c r="F269" s="15" t="s">
        <v>4</v>
      </c>
      <c r="G269" s="16">
        <v>263.0</v>
      </c>
      <c r="H269" s="16"/>
      <c r="I269" s="16">
        <v>46986.0</v>
      </c>
      <c r="J269" s="11" t="s">
        <v>61</v>
      </c>
      <c r="K269" s="11" t="s">
        <v>62</v>
      </c>
      <c r="L269" s="18">
        <v>46285.88814814815</v>
      </c>
      <c r="M269" s="18">
        <v>46285.88820601852</v>
      </c>
      <c r="N269" s="11" t="s">
        <v>63</v>
      </c>
      <c r="O269" s="11">
        <v>0.0</v>
      </c>
      <c r="P269" s="11" t="s">
        <v>2234</v>
      </c>
      <c r="Q269" s="11" t="s">
        <v>2235</v>
      </c>
      <c r="R269" s="11"/>
      <c r="S269" s="11" t="s">
        <v>2236</v>
      </c>
      <c r="T269" s="11"/>
      <c r="U269" s="11" t="s">
        <v>137</v>
      </c>
      <c r="V269" s="11" t="s">
        <v>68</v>
      </c>
      <c r="W269" s="11">
        <v>1643.0</v>
      </c>
      <c r="X269" s="11" t="s">
        <v>69</v>
      </c>
      <c r="Y269" s="11" t="s">
        <v>2237</v>
      </c>
      <c r="Z269" s="11">
        <v>1.156594826E9</v>
      </c>
      <c r="AA269" s="11" t="s">
        <v>71</v>
      </c>
      <c r="AB269" s="11"/>
      <c r="AC269" s="11"/>
      <c r="AD269" s="18">
        <v>46285.88820601852</v>
      </c>
      <c r="AE269" s="11" t="s">
        <v>2238</v>
      </c>
      <c r="AF269" s="11" t="s">
        <v>2239</v>
      </c>
      <c r="AG269" s="18">
        <v>46286.01314814815</v>
      </c>
      <c r="AH269" s="18">
        <v>46286.01320601852</v>
      </c>
      <c r="AI269" s="11"/>
      <c r="AJ269" s="18">
        <v>46286.01320601852</v>
      </c>
      <c r="AK269" s="11">
        <v>18253.0</v>
      </c>
      <c r="AL269" s="21" t="s">
        <v>1423</v>
      </c>
      <c r="AM269" s="16" t="s">
        <v>1426</v>
      </c>
      <c r="AN269" s="16"/>
      <c r="AO269" s="23" t="s">
        <v>2240</v>
      </c>
      <c r="AP269" s="16" t="s">
        <v>76</v>
      </c>
      <c r="AQ269" s="16">
        <v>3925.0</v>
      </c>
      <c r="AR269" s="16"/>
      <c r="AS269" s="11" t="s">
        <v>251</v>
      </c>
      <c r="AT269" s="11" t="s">
        <v>1364</v>
      </c>
      <c r="AU269" s="11" t="s">
        <v>2241</v>
      </c>
      <c r="AV269" s="11">
        <v>5.4700015E7</v>
      </c>
      <c r="AW269" s="11" t="s">
        <v>99</v>
      </c>
      <c r="AX269" s="11">
        <v>1.156594826E9</v>
      </c>
      <c r="AY269" s="11" t="s">
        <v>2237</v>
      </c>
      <c r="AZ269" s="24">
        <v>42070.0</v>
      </c>
      <c r="BA269" s="11" t="s">
        <v>144</v>
      </c>
      <c r="BB269" s="11" t="s">
        <v>81</v>
      </c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</row>
    <row r="270" ht="19.5" customHeight="1">
      <c r="A270" s="10" t="b">
        <v>0</v>
      </c>
      <c r="B270" s="11"/>
      <c r="C270" s="13" t="s">
        <v>60</v>
      </c>
      <c r="D270" s="14" t="s">
        <v>60</v>
      </c>
      <c r="E270" s="11"/>
      <c r="F270" s="15" t="s">
        <v>4</v>
      </c>
      <c r="G270" s="16">
        <v>264.0</v>
      </c>
      <c r="H270" s="16"/>
      <c r="I270" s="16">
        <v>46987.0</v>
      </c>
      <c r="J270" s="11" t="s">
        <v>61</v>
      </c>
      <c r="K270" s="11" t="s">
        <v>62</v>
      </c>
      <c r="L270" s="18">
        <v>46285.89855324074</v>
      </c>
      <c r="M270" s="18">
        <v>46285.89859953704</v>
      </c>
      <c r="N270" s="11" t="s">
        <v>63</v>
      </c>
      <c r="O270" s="11">
        <v>0.0</v>
      </c>
      <c r="P270" s="11" t="s">
        <v>261</v>
      </c>
      <c r="Q270" s="11" t="s">
        <v>624</v>
      </c>
      <c r="R270" s="11"/>
      <c r="S270" s="11" t="s">
        <v>625</v>
      </c>
      <c r="T270" s="11"/>
      <c r="U270" s="11" t="s">
        <v>158</v>
      </c>
      <c r="V270" s="11" t="s">
        <v>126</v>
      </c>
      <c r="W270" s="11">
        <v>1430.0</v>
      </c>
      <c r="X270" s="11" t="s">
        <v>69</v>
      </c>
      <c r="Y270" s="11" t="s">
        <v>626</v>
      </c>
      <c r="Z270" s="11">
        <v>1.536571538E9</v>
      </c>
      <c r="AA270" s="11" t="s">
        <v>71</v>
      </c>
      <c r="AB270" s="11"/>
      <c r="AC270" s="11"/>
      <c r="AD270" s="18">
        <v>46285.89859953704</v>
      </c>
      <c r="AE270" s="11" t="s">
        <v>2242</v>
      </c>
      <c r="AF270" s="11" t="s">
        <v>2243</v>
      </c>
      <c r="AG270" s="18">
        <v>46286.02355324074</v>
      </c>
      <c r="AH270" s="18">
        <v>46286.02359953704</v>
      </c>
      <c r="AI270" s="11"/>
      <c r="AJ270" s="18">
        <v>46286.02359953704</v>
      </c>
      <c r="AK270" s="11">
        <v>18253.0</v>
      </c>
      <c r="AL270" s="21" t="s">
        <v>1423</v>
      </c>
      <c r="AM270" s="16"/>
      <c r="AN270" s="16"/>
      <c r="AO270" s="23"/>
      <c r="AP270" s="16" t="s">
        <v>76</v>
      </c>
      <c r="AQ270" s="16">
        <v>4192.0</v>
      </c>
      <c r="AR270" s="16"/>
      <c r="AS270" s="11" t="s">
        <v>374</v>
      </c>
      <c r="AT270" s="11" t="s">
        <v>2244</v>
      </c>
      <c r="AU270" s="11" t="s">
        <v>2245</v>
      </c>
      <c r="AV270" s="11">
        <v>5.0671157E7</v>
      </c>
      <c r="AW270" s="11" t="s">
        <v>99</v>
      </c>
      <c r="AX270" s="11">
        <v>1.536571538E9</v>
      </c>
      <c r="AY270" s="11" t="s">
        <v>626</v>
      </c>
      <c r="AZ270" s="24">
        <v>40841.0</v>
      </c>
      <c r="BA270" s="11" t="s">
        <v>100</v>
      </c>
      <c r="BB270" s="11" t="s">
        <v>101</v>
      </c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</row>
    <row r="271" ht="19.5" customHeight="1">
      <c r="A271" s="10" t="b">
        <v>0</v>
      </c>
      <c r="B271" s="11"/>
      <c r="C271" s="13" t="s">
        <v>59</v>
      </c>
      <c r="D271" s="14" t="s">
        <v>60</v>
      </c>
      <c r="E271" s="11"/>
      <c r="F271" s="15" t="s">
        <v>4</v>
      </c>
      <c r="G271" s="16">
        <v>274.0</v>
      </c>
      <c r="H271" s="16"/>
      <c r="I271" s="16">
        <v>46997.0</v>
      </c>
      <c r="J271" s="11" t="s">
        <v>61</v>
      </c>
      <c r="K271" s="11" t="s">
        <v>62</v>
      </c>
      <c r="L271" s="18">
        <v>46285.945925925924</v>
      </c>
      <c r="M271" s="18">
        <v>46285.94599537037</v>
      </c>
      <c r="N271" s="11" t="s">
        <v>63</v>
      </c>
      <c r="O271" s="11">
        <v>0.0</v>
      </c>
      <c r="P271" s="11" t="s">
        <v>929</v>
      </c>
      <c r="Q271" s="11" t="s">
        <v>2246</v>
      </c>
      <c r="R271" s="11"/>
      <c r="S271" s="11" t="s">
        <v>2247</v>
      </c>
      <c r="T271" s="11" t="s">
        <v>2248</v>
      </c>
      <c r="U271" s="11" t="s">
        <v>643</v>
      </c>
      <c r="V271" s="11" t="s">
        <v>101</v>
      </c>
      <c r="W271" s="11">
        <v>2000.0</v>
      </c>
      <c r="X271" s="11" t="s">
        <v>69</v>
      </c>
      <c r="Y271" s="11" t="s">
        <v>2249</v>
      </c>
      <c r="Z271" s="11">
        <v>5.43412114829E11</v>
      </c>
      <c r="AA271" s="11" t="s">
        <v>71</v>
      </c>
      <c r="AB271" s="11"/>
      <c r="AC271" s="11"/>
      <c r="AD271" s="18">
        <v>46285.94599537037</v>
      </c>
      <c r="AE271" s="11" t="s">
        <v>2250</v>
      </c>
      <c r="AF271" s="11" t="s">
        <v>2251</v>
      </c>
      <c r="AG271" s="18">
        <v>46286.070925925924</v>
      </c>
      <c r="AH271" s="18">
        <v>46286.07099537037</v>
      </c>
      <c r="AI271" s="11"/>
      <c r="AJ271" s="18">
        <v>46286.07099537037</v>
      </c>
      <c r="AK271" s="11">
        <v>18253.0</v>
      </c>
      <c r="AL271" s="21" t="s">
        <v>1423</v>
      </c>
      <c r="AM271" s="16"/>
      <c r="AN271" s="14" t="s">
        <v>39</v>
      </c>
      <c r="AO271" s="23"/>
      <c r="AP271" s="16" t="s">
        <v>76</v>
      </c>
      <c r="AQ271" s="16">
        <v>3920.0</v>
      </c>
      <c r="AR271" s="16"/>
      <c r="AS271" s="11" t="s">
        <v>1718</v>
      </c>
      <c r="AT271" s="11" t="s">
        <v>2252</v>
      </c>
      <c r="AU271" s="11" t="s">
        <v>2253</v>
      </c>
      <c r="AV271" s="11">
        <v>5.2364453E7</v>
      </c>
      <c r="AW271" s="11" t="s">
        <v>79</v>
      </c>
      <c r="AX271" s="11">
        <v>3.412114829E9</v>
      </c>
      <c r="AY271" s="11" t="s">
        <v>2249</v>
      </c>
      <c r="AZ271" s="24">
        <v>40955.0</v>
      </c>
      <c r="BA271" s="11" t="s">
        <v>811</v>
      </c>
      <c r="BB271" s="11" t="s">
        <v>101</v>
      </c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</row>
    <row r="272" ht="19.5" customHeight="1">
      <c r="A272" s="10" t="b">
        <v>0</v>
      </c>
      <c r="B272" s="11"/>
      <c r="C272" s="13" t="s">
        <v>60</v>
      </c>
      <c r="D272" s="14" t="s">
        <v>60</v>
      </c>
      <c r="E272" s="11"/>
      <c r="F272" s="15" t="s">
        <v>4</v>
      </c>
      <c r="G272" s="16">
        <v>278.0</v>
      </c>
      <c r="H272" s="16"/>
      <c r="I272" s="16">
        <v>47001.0</v>
      </c>
      <c r="J272" s="11" t="s">
        <v>61</v>
      </c>
      <c r="K272" s="11" t="s">
        <v>62</v>
      </c>
      <c r="L272" s="18">
        <v>46286.067037037035</v>
      </c>
      <c r="M272" s="18">
        <v>46286.067083333335</v>
      </c>
      <c r="N272" s="11" t="s">
        <v>63</v>
      </c>
      <c r="O272" s="11">
        <v>0.0</v>
      </c>
      <c r="P272" s="11" t="s">
        <v>2254</v>
      </c>
      <c r="Q272" s="11" t="s">
        <v>2255</v>
      </c>
      <c r="R272" s="11"/>
      <c r="S272" s="11" t="s">
        <v>2256</v>
      </c>
      <c r="T272" s="11"/>
      <c r="U272" s="11" t="s">
        <v>2257</v>
      </c>
      <c r="V272" s="11" t="s">
        <v>126</v>
      </c>
      <c r="W272" s="11">
        <v>1174.0</v>
      </c>
      <c r="X272" s="11" t="s">
        <v>69</v>
      </c>
      <c r="Y272" s="11" t="s">
        <v>2258</v>
      </c>
      <c r="Z272" s="11">
        <v>9.1158838945E10</v>
      </c>
      <c r="AA272" s="11" t="s">
        <v>71</v>
      </c>
      <c r="AB272" s="11"/>
      <c r="AC272" s="11"/>
      <c r="AD272" s="18">
        <v>46286.067083333335</v>
      </c>
      <c r="AE272" s="11" t="s">
        <v>2259</v>
      </c>
      <c r="AF272" s="11" t="s">
        <v>2260</v>
      </c>
      <c r="AG272" s="18">
        <v>46286.192037037035</v>
      </c>
      <c r="AH272" s="18">
        <v>46286.192083333335</v>
      </c>
      <c r="AI272" s="11"/>
      <c r="AJ272" s="18">
        <v>46286.192083333335</v>
      </c>
      <c r="AK272" s="11">
        <v>18253.0</v>
      </c>
      <c r="AL272" s="21" t="s">
        <v>1423</v>
      </c>
      <c r="AM272" s="16"/>
      <c r="AN272" s="16"/>
      <c r="AO272" s="23"/>
      <c r="AP272" s="16" t="s">
        <v>76</v>
      </c>
      <c r="AQ272" s="16">
        <v>4106.0</v>
      </c>
      <c r="AR272" s="16"/>
      <c r="AS272" s="11" t="s">
        <v>321</v>
      </c>
      <c r="AT272" s="11" t="s">
        <v>1900</v>
      </c>
      <c r="AU272" s="11" t="s">
        <v>2261</v>
      </c>
      <c r="AV272" s="11">
        <v>5.3653582E7</v>
      </c>
      <c r="AW272" s="11" t="s">
        <v>99</v>
      </c>
      <c r="AX272" s="11">
        <v>9.1158838945E10</v>
      </c>
      <c r="AY272" s="11" t="s">
        <v>2258</v>
      </c>
      <c r="AZ272" s="24">
        <v>41664.0</v>
      </c>
      <c r="BA272" s="11" t="s">
        <v>2262</v>
      </c>
      <c r="BB272" s="11" t="s">
        <v>101</v>
      </c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</row>
    <row r="273" ht="19.5" customHeight="1">
      <c r="A273" s="10" t="b">
        <v>0</v>
      </c>
      <c r="B273" s="11"/>
      <c r="C273" s="13" t="s">
        <v>60</v>
      </c>
      <c r="D273" s="14" t="s">
        <v>60</v>
      </c>
      <c r="E273" s="11"/>
      <c r="F273" s="15" t="s">
        <v>4</v>
      </c>
      <c r="G273" s="16">
        <v>280.0</v>
      </c>
      <c r="H273" s="16"/>
      <c r="I273" s="16">
        <v>47003.0</v>
      </c>
      <c r="J273" s="11" t="s">
        <v>61</v>
      </c>
      <c r="K273" s="11" t="s">
        <v>62</v>
      </c>
      <c r="L273" s="18">
        <v>46286.141539351855</v>
      </c>
      <c r="M273" s="18">
        <v>46286.141550925924</v>
      </c>
      <c r="N273" s="11" t="s">
        <v>63</v>
      </c>
      <c r="O273" s="11">
        <v>0.0</v>
      </c>
      <c r="P273" s="11" t="s">
        <v>670</v>
      </c>
      <c r="Q273" s="11" t="s">
        <v>671</v>
      </c>
      <c r="R273" s="11"/>
      <c r="S273" s="11" t="s">
        <v>672</v>
      </c>
      <c r="T273" s="11"/>
      <c r="U273" s="11" t="s">
        <v>276</v>
      </c>
      <c r="V273" s="11" t="s">
        <v>126</v>
      </c>
      <c r="W273" s="11">
        <v>1425.0</v>
      </c>
      <c r="X273" s="11" t="s">
        <v>69</v>
      </c>
      <c r="Y273" s="11" t="s">
        <v>673</v>
      </c>
      <c r="Z273" s="11">
        <v>1.158303299E9</v>
      </c>
      <c r="AA273" s="11" t="s">
        <v>645</v>
      </c>
      <c r="AB273" s="11"/>
      <c r="AC273" s="11"/>
      <c r="AD273" s="11"/>
      <c r="AE273" s="11" t="s">
        <v>2263</v>
      </c>
      <c r="AF273" s="11" t="s">
        <v>2264</v>
      </c>
      <c r="AG273" s="18">
        <v>46286.266539351855</v>
      </c>
      <c r="AH273" s="18">
        <v>46286.266550925924</v>
      </c>
      <c r="AI273" s="11"/>
      <c r="AJ273" s="11"/>
      <c r="AK273" s="11">
        <v>18253.0</v>
      </c>
      <c r="AL273" s="21" t="s">
        <v>1423</v>
      </c>
      <c r="AM273" s="16"/>
      <c r="AN273" s="14" t="s">
        <v>39</v>
      </c>
      <c r="AO273" s="23"/>
      <c r="AP273" s="16" t="s">
        <v>76</v>
      </c>
      <c r="AQ273" s="16">
        <v>4239.0</v>
      </c>
      <c r="AR273" s="16"/>
      <c r="AS273" s="11" t="s">
        <v>197</v>
      </c>
      <c r="AT273" s="11" t="s">
        <v>78</v>
      </c>
      <c r="AU273" s="11" t="s">
        <v>677</v>
      </c>
      <c r="AV273" s="11">
        <v>5.1269548E7</v>
      </c>
      <c r="AW273" s="11" t="s">
        <v>79</v>
      </c>
      <c r="AX273" s="11">
        <v>1.158303299E9</v>
      </c>
      <c r="AY273" s="11" t="s">
        <v>673</v>
      </c>
      <c r="AZ273" s="31">
        <v>40733.0</v>
      </c>
      <c r="BA273" s="11" t="s">
        <v>80</v>
      </c>
      <c r="BB273" s="11" t="s">
        <v>81</v>
      </c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</row>
    <row r="274" ht="19.5" customHeight="1">
      <c r="A274" s="10" t="b">
        <v>0</v>
      </c>
      <c r="B274" s="11"/>
      <c r="C274" s="13" t="s">
        <v>60</v>
      </c>
      <c r="D274" s="14" t="s">
        <v>60</v>
      </c>
      <c r="E274" s="11"/>
      <c r="F274" s="15" t="s">
        <v>4</v>
      </c>
      <c r="G274" s="16">
        <v>284.0</v>
      </c>
      <c r="H274" s="16"/>
      <c r="I274" s="16">
        <v>47007.0</v>
      </c>
      <c r="J274" s="11" t="s">
        <v>61</v>
      </c>
      <c r="K274" s="11" t="s">
        <v>62</v>
      </c>
      <c r="L274" s="18">
        <v>46286.37488425926</v>
      </c>
      <c r="M274" s="18">
        <v>46286.37494212963</v>
      </c>
      <c r="N274" s="11" t="s">
        <v>63</v>
      </c>
      <c r="O274" s="11">
        <v>0.0</v>
      </c>
      <c r="P274" s="11" t="s">
        <v>2265</v>
      </c>
      <c r="Q274" s="11" t="s">
        <v>2266</v>
      </c>
      <c r="R274" s="11"/>
      <c r="S274" s="11" t="s">
        <v>2267</v>
      </c>
      <c r="T274" s="11">
        <v>1104.0</v>
      </c>
      <c r="U274" s="11" t="s">
        <v>134</v>
      </c>
      <c r="V274" s="11" t="s">
        <v>784</v>
      </c>
      <c r="W274" s="11"/>
      <c r="X274" s="11" t="s">
        <v>169</v>
      </c>
      <c r="Y274" s="11" t="s">
        <v>2268</v>
      </c>
      <c r="Z274" s="11">
        <v>9.97311691E8</v>
      </c>
      <c r="AA274" s="11" t="s">
        <v>71</v>
      </c>
      <c r="AB274" s="11"/>
      <c r="AC274" s="11"/>
      <c r="AD274" s="18">
        <v>46286.37494212963</v>
      </c>
      <c r="AE274" s="11" t="s">
        <v>2269</v>
      </c>
      <c r="AF274" s="11" t="s">
        <v>2270</v>
      </c>
      <c r="AG274" s="18">
        <v>46286.49988425926</v>
      </c>
      <c r="AH274" s="18">
        <v>46286.49994212963</v>
      </c>
      <c r="AI274" s="11"/>
      <c r="AJ274" s="18">
        <v>46286.49994212963</v>
      </c>
      <c r="AK274" s="11">
        <v>18253.0</v>
      </c>
      <c r="AL274" s="21" t="s">
        <v>1423</v>
      </c>
      <c r="AM274" s="16"/>
      <c r="AN274" s="16"/>
      <c r="AO274" s="23" t="s">
        <v>2271</v>
      </c>
      <c r="AP274" s="16" t="s">
        <v>175</v>
      </c>
      <c r="AQ274" s="16">
        <v>837.0</v>
      </c>
      <c r="AR274" s="16"/>
      <c r="AS274" s="11" t="s">
        <v>176</v>
      </c>
      <c r="AT274" s="11" t="s">
        <v>2272</v>
      </c>
      <c r="AU274" s="11" t="s">
        <v>2273</v>
      </c>
      <c r="AV274" s="11">
        <v>2.45417624E8</v>
      </c>
      <c r="AW274" s="11" t="s">
        <v>99</v>
      </c>
      <c r="AX274" s="11">
        <v>9.97311691E8</v>
      </c>
      <c r="AY274" s="11" t="s">
        <v>2268</v>
      </c>
      <c r="AZ274" s="24">
        <v>41682.0</v>
      </c>
      <c r="BA274" s="11" t="s">
        <v>1615</v>
      </c>
      <c r="BB274" s="11" t="s">
        <v>81</v>
      </c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</row>
    <row r="275" ht="19.5" customHeight="1">
      <c r="A275" s="10" t="b">
        <v>0</v>
      </c>
      <c r="B275" s="11"/>
      <c r="C275" s="13" t="s">
        <v>60</v>
      </c>
      <c r="D275" s="14" t="s">
        <v>60</v>
      </c>
      <c r="E275" s="11"/>
      <c r="F275" s="15" t="s">
        <v>4</v>
      </c>
      <c r="G275" s="16">
        <v>287.0</v>
      </c>
      <c r="H275" s="16"/>
      <c r="I275" s="16">
        <v>47010.0</v>
      </c>
      <c r="J275" s="11" t="s">
        <v>402</v>
      </c>
      <c r="K275" s="11" t="s">
        <v>62</v>
      </c>
      <c r="L275" s="18">
        <v>46286.37946759259</v>
      </c>
      <c r="M275" s="18">
        <v>46286.37946759259</v>
      </c>
      <c r="N275" s="11" t="s">
        <v>63</v>
      </c>
      <c r="O275" s="11">
        <v>0.0</v>
      </c>
      <c r="P275" s="11" t="s">
        <v>2274</v>
      </c>
      <c r="Q275" s="11" t="s">
        <v>2275</v>
      </c>
      <c r="R275" s="11"/>
      <c r="S275" s="11" t="s">
        <v>2276</v>
      </c>
      <c r="T275" s="11"/>
      <c r="U275" s="11" t="s">
        <v>2277</v>
      </c>
      <c r="V275" s="11" t="s">
        <v>68</v>
      </c>
      <c r="W275" s="11">
        <v>2800.0</v>
      </c>
      <c r="X275" s="11" t="s">
        <v>69</v>
      </c>
      <c r="Y275" s="11" t="s">
        <v>2278</v>
      </c>
      <c r="Z275" s="11">
        <v>5.4348767544E11</v>
      </c>
      <c r="AA275" s="11" t="s">
        <v>71</v>
      </c>
      <c r="AB275" s="11"/>
      <c r="AC275" s="11"/>
      <c r="AD275" s="11"/>
      <c r="AE275" s="11" t="s">
        <v>408</v>
      </c>
      <c r="AF275" s="11" t="s">
        <v>2279</v>
      </c>
      <c r="AG275" s="18">
        <v>46286.50446759259</v>
      </c>
      <c r="AH275" s="18">
        <v>46286.50446759259</v>
      </c>
      <c r="AI275" s="11"/>
      <c r="AJ275" s="11"/>
      <c r="AK275" s="11">
        <v>18253.0</v>
      </c>
      <c r="AL275" s="21" t="s">
        <v>1423</v>
      </c>
      <c r="AM275" s="16"/>
      <c r="AN275" s="16"/>
      <c r="AO275" s="23"/>
      <c r="AP275" s="16" t="s">
        <v>76</v>
      </c>
      <c r="AQ275" s="16">
        <v>4268.0</v>
      </c>
      <c r="AR275" s="16"/>
      <c r="AS275" s="11" t="s">
        <v>321</v>
      </c>
      <c r="AT275" s="11" t="s">
        <v>1161</v>
      </c>
      <c r="AU275" s="11" t="s">
        <v>2280</v>
      </c>
      <c r="AV275" s="11">
        <v>5.3084562E7</v>
      </c>
      <c r="AW275" s="11" t="s">
        <v>99</v>
      </c>
      <c r="AX275" s="11">
        <v>3.48767544E9</v>
      </c>
      <c r="AY275" s="11" t="s">
        <v>2278</v>
      </c>
      <c r="AZ275" s="24">
        <v>41330.0</v>
      </c>
      <c r="BA275" s="11" t="s">
        <v>2281</v>
      </c>
      <c r="BB275" s="11" t="s">
        <v>101</v>
      </c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</row>
    <row r="276" ht="19.5" customHeight="1">
      <c r="A276" s="10" t="b">
        <v>0</v>
      </c>
      <c r="B276" s="11"/>
      <c r="C276" s="13" t="s">
        <v>59</v>
      </c>
      <c r="D276" s="14" t="s">
        <v>60</v>
      </c>
      <c r="E276" s="11"/>
      <c r="F276" s="15" t="s">
        <v>4</v>
      </c>
      <c r="G276" s="16">
        <v>288.0</v>
      </c>
      <c r="H276" s="16"/>
      <c r="I276" s="16">
        <v>47011.0</v>
      </c>
      <c r="J276" s="11" t="s">
        <v>61</v>
      </c>
      <c r="K276" s="11" t="s">
        <v>62</v>
      </c>
      <c r="L276" s="18">
        <v>46286.38140046296</v>
      </c>
      <c r="M276" s="18">
        <v>46286.381423611114</v>
      </c>
      <c r="N276" s="11" t="s">
        <v>63</v>
      </c>
      <c r="O276" s="11">
        <v>0.0</v>
      </c>
      <c r="P276" s="11" t="s">
        <v>700</v>
      </c>
      <c r="Q276" s="11" t="s">
        <v>701</v>
      </c>
      <c r="R276" s="11"/>
      <c r="S276" s="11" t="s">
        <v>702</v>
      </c>
      <c r="T276" s="11"/>
      <c r="U276" s="11" t="s">
        <v>234</v>
      </c>
      <c r="V276" s="11" t="s">
        <v>68</v>
      </c>
      <c r="W276" s="11">
        <v>1644.0</v>
      </c>
      <c r="X276" s="11" t="s">
        <v>69</v>
      </c>
      <c r="Y276" s="11" t="s">
        <v>703</v>
      </c>
      <c r="Z276" s="11">
        <v>1.153073821E9</v>
      </c>
      <c r="AA276" s="11" t="s">
        <v>645</v>
      </c>
      <c r="AB276" s="11"/>
      <c r="AC276" s="11"/>
      <c r="AD276" s="11"/>
      <c r="AE276" s="11" t="s">
        <v>2282</v>
      </c>
      <c r="AF276" s="11" t="s">
        <v>2283</v>
      </c>
      <c r="AG276" s="18">
        <v>46286.50640046296</v>
      </c>
      <c r="AH276" s="18">
        <v>46286.506423611114</v>
      </c>
      <c r="AI276" s="11"/>
      <c r="AJ276" s="11"/>
      <c r="AK276" s="11">
        <v>18253.0</v>
      </c>
      <c r="AL276" s="21" t="s">
        <v>1423</v>
      </c>
      <c r="AM276" s="16"/>
      <c r="AN276" s="14" t="s">
        <v>39</v>
      </c>
      <c r="AO276" s="23"/>
      <c r="AP276" s="16" t="s">
        <v>76</v>
      </c>
      <c r="AQ276" s="16">
        <v>3898.0</v>
      </c>
      <c r="AR276" s="16"/>
      <c r="AS276" s="11" t="s">
        <v>298</v>
      </c>
      <c r="AT276" s="11" t="s">
        <v>432</v>
      </c>
      <c r="AU276" s="11" t="s">
        <v>707</v>
      </c>
      <c r="AV276" s="11">
        <v>5.2703398E7</v>
      </c>
      <c r="AW276" s="11" t="s">
        <v>79</v>
      </c>
      <c r="AX276" s="11">
        <v>1.153073821E9</v>
      </c>
      <c r="AY276" s="11" t="s">
        <v>703</v>
      </c>
      <c r="AZ276" s="24">
        <v>41228.0</v>
      </c>
      <c r="BA276" s="11" t="s">
        <v>708</v>
      </c>
      <c r="BB276" s="11" t="s">
        <v>81</v>
      </c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</row>
    <row r="277" ht="19.5" customHeight="1">
      <c r="A277" s="10" t="b">
        <v>0</v>
      </c>
      <c r="B277" s="11"/>
      <c r="C277" s="13" t="s">
        <v>60</v>
      </c>
      <c r="D277" s="14" t="s">
        <v>60</v>
      </c>
      <c r="E277" s="11"/>
      <c r="F277" s="15" t="s">
        <v>4</v>
      </c>
      <c r="G277" s="16">
        <v>289.0</v>
      </c>
      <c r="H277" s="16"/>
      <c r="I277" s="16">
        <v>47012.0</v>
      </c>
      <c r="J277" s="11" t="s">
        <v>61</v>
      </c>
      <c r="K277" s="11" t="s">
        <v>62</v>
      </c>
      <c r="L277" s="18">
        <v>46286.39945601852</v>
      </c>
      <c r="M277" s="18">
        <v>46286.399513888886</v>
      </c>
      <c r="N277" s="11" t="s">
        <v>63</v>
      </c>
      <c r="O277" s="11">
        <v>0.0</v>
      </c>
      <c r="P277" s="11" t="s">
        <v>927</v>
      </c>
      <c r="Q277" s="11" t="s">
        <v>2284</v>
      </c>
      <c r="R277" s="11"/>
      <c r="S277" s="11" t="s">
        <v>2285</v>
      </c>
      <c r="T277" s="11"/>
      <c r="U277" s="11" t="s">
        <v>362</v>
      </c>
      <c r="V277" s="11" t="s">
        <v>126</v>
      </c>
      <c r="W277" s="11">
        <v>1425.0</v>
      </c>
      <c r="X277" s="11" t="s">
        <v>69</v>
      </c>
      <c r="Y277" s="11" t="s">
        <v>2286</v>
      </c>
      <c r="Z277" s="11">
        <v>1.149285313E9</v>
      </c>
      <c r="AA277" s="11" t="s">
        <v>71</v>
      </c>
      <c r="AB277" s="11"/>
      <c r="AC277" s="11"/>
      <c r="AD277" s="18">
        <v>46286.399513888886</v>
      </c>
      <c r="AE277" s="11" t="s">
        <v>2287</v>
      </c>
      <c r="AF277" s="11" t="s">
        <v>2288</v>
      </c>
      <c r="AG277" s="18">
        <v>46286.52445601852</v>
      </c>
      <c r="AH277" s="18">
        <v>46286.524513888886</v>
      </c>
      <c r="AI277" s="11"/>
      <c r="AJ277" s="18">
        <v>46286.524513888886</v>
      </c>
      <c r="AK277" s="11">
        <v>18253.0</v>
      </c>
      <c r="AL277" s="21" t="s">
        <v>1423</v>
      </c>
      <c r="AM277" s="16"/>
      <c r="AN277" s="14" t="s">
        <v>39</v>
      </c>
      <c r="AO277" s="23"/>
      <c r="AP277" s="16" t="s">
        <v>76</v>
      </c>
      <c r="AQ277" s="16">
        <v>3694.0</v>
      </c>
      <c r="AR277" s="16"/>
      <c r="AS277" s="11" t="s">
        <v>197</v>
      </c>
      <c r="AT277" s="11" t="s">
        <v>1572</v>
      </c>
      <c r="AU277" s="11" t="s">
        <v>2284</v>
      </c>
      <c r="AV277" s="11">
        <v>5.1510602E7</v>
      </c>
      <c r="AW277" s="11" t="s">
        <v>79</v>
      </c>
      <c r="AX277" s="11">
        <v>1.149285313E9</v>
      </c>
      <c r="AY277" s="11" t="s">
        <v>2286</v>
      </c>
      <c r="AZ277" s="24">
        <v>40827.0</v>
      </c>
      <c r="BA277" s="11" t="s">
        <v>144</v>
      </c>
      <c r="BB277" s="11" t="s">
        <v>101</v>
      </c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</row>
    <row r="278" ht="19.5" customHeight="1">
      <c r="A278" s="10" t="b">
        <v>0</v>
      </c>
      <c r="B278" s="11"/>
      <c r="C278" s="13" t="s">
        <v>60</v>
      </c>
      <c r="D278" s="14" t="s">
        <v>60</v>
      </c>
      <c r="E278" s="11"/>
      <c r="F278" s="15" t="s">
        <v>4</v>
      </c>
      <c r="G278" s="16">
        <v>290.0</v>
      </c>
      <c r="H278" s="16"/>
      <c r="I278" s="16">
        <v>47013.0</v>
      </c>
      <c r="J278" s="11" t="s">
        <v>61</v>
      </c>
      <c r="K278" s="11" t="s">
        <v>62</v>
      </c>
      <c r="L278" s="18">
        <v>46286.40149305556</v>
      </c>
      <c r="M278" s="18">
        <v>46286.401550925926</v>
      </c>
      <c r="N278" s="11" t="s">
        <v>63</v>
      </c>
      <c r="O278" s="11">
        <v>0.0</v>
      </c>
      <c r="P278" s="11" t="s">
        <v>927</v>
      </c>
      <c r="Q278" s="11" t="s">
        <v>2284</v>
      </c>
      <c r="R278" s="11"/>
      <c r="S278" s="11" t="s">
        <v>2285</v>
      </c>
      <c r="T278" s="11"/>
      <c r="U278" s="11" t="s">
        <v>362</v>
      </c>
      <c r="V278" s="11" t="s">
        <v>126</v>
      </c>
      <c r="W278" s="11">
        <v>1425.0</v>
      </c>
      <c r="X278" s="11" t="s">
        <v>69</v>
      </c>
      <c r="Y278" s="11" t="s">
        <v>2286</v>
      </c>
      <c r="Z278" s="11">
        <v>1.149285313E9</v>
      </c>
      <c r="AA278" s="11" t="s">
        <v>71</v>
      </c>
      <c r="AB278" s="11"/>
      <c r="AC278" s="11"/>
      <c r="AD278" s="18">
        <v>46286.401550925926</v>
      </c>
      <c r="AE278" s="11" t="s">
        <v>2289</v>
      </c>
      <c r="AF278" s="11" t="s">
        <v>2290</v>
      </c>
      <c r="AG278" s="18">
        <v>46286.52649305556</v>
      </c>
      <c r="AH278" s="18">
        <v>46286.526550925926</v>
      </c>
      <c r="AI278" s="11"/>
      <c r="AJ278" s="18">
        <v>46286.526550925926</v>
      </c>
      <c r="AK278" s="11">
        <v>18253.0</v>
      </c>
      <c r="AL278" s="21" t="s">
        <v>1423</v>
      </c>
      <c r="AM278" s="16"/>
      <c r="AN278" s="14" t="s">
        <v>39</v>
      </c>
      <c r="AO278" s="23"/>
      <c r="AP278" s="16" t="s">
        <v>76</v>
      </c>
      <c r="AQ278" s="16">
        <v>3137.0</v>
      </c>
      <c r="AR278" s="16"/>
      <c r="AS278" s="11" t="s">
        <v>197</v>
      </c>
      <c r="AT278" s="11" t="s">
        <v>876</v>
      </c>
      <c r="AU278" s="11" t="s">
        <v>2284</v>
      </c>
      <c r="AV278" s="11">
        <v>5.1510602E7</v>
      </c>
      <c r="AW278" s="11" t="s">
        <v>79</v>
      </c>
      <c r="AX278" s="11">
        <v>1.149285313E9</v>
      </c>
      <c r="AY278" s="11" t="s">
        <v>2286</v>
      </c>
      <c r="AZ278" s="24">
        <v>40827.0</v>
      </c>
      <c r="BA278" s="11" t="s">
        <v>144</v>
      </c>
      <c r="BB278" s="11" t="s">
        <v>101</v>
      </c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</row>
    <row r="279" ht="19.5" customHeight="1">
      <c r="A279" s="10" t="b">
        <v>0</v>
      </c>
      <c r="B279" s="11"/>
      <c r="C279" s="13" t="s">
        <v>59</v>
      </c>
      <c r="D279" s="14" t="s">
        <v>60</v>
      </c>
      <c r="E279" s="11"/>
      <c r="F279" s="15" t="s">
        <v>4</v>
      </c>
      <c r="G279" s="16">
        <v>292.0</v>
      </c>
      <c r="H279" s="16"/>
      <c r="I279" s="16">
        <v>47015.0</v>
      </c>
      <c r="J279" s="11" t="s">
        <v>61</v>
      </c>
      <c r="K279" s="11" t="s">
        <v>62</v>
      </c>
      <c r="L279" s="18">
        <v>46286.41101851852</v>
      </c>
      <c r="M279" s="18">
        <v>46286.411087962966</v>
      </c>
      <c r="N279" s="11" t="s">
        <v>63</v>
      </c>
      <c r="O279" s="11">
        <v>0.0</v>
      </c>
      <c r="P279" s="11" t="s">
        <v>1134</v>
      </c>
      <c r="Q279" s="11" t="s">
        <v>2291</v>
      </c>
      <c r="R279" s="11"/>
      <c r="S279" s="11" t="s">
        <v>2292</v>
      </c>
      <c r="T279" s="11"/>
      <c r="U279" s="11" t="s">
        <v>1212</v>
      </c>
      <c r="V279" s="11" t="s">
        <v>68</v>
      </c>
      <c r="W279" s="11">
        <v>1640.0</v>
      </c>
      <c r="X279" s="11" t="s">
        <v>69</v>
      </c>
      <c r="Y279" s="11" t="s">
        <v>2293</v>
      </c>
      <c r="Z279" s="11">
        <v>5.41540960504E11</v>
      </c>
      <c r="AA279" s="11" t="s">
        <v>71</v>
      </c>
      <c r="AB279" s="11"/>
      <c r="AC279" s="11"/>
      <c r="AD279" s="18">
        <v>46286.411087962966</v>
      </c>
      <c r="AE279" s="11" t="s">
        <v>2294</v>
      </c>
      <c r="AF279" s="11" t="s">
        <v>2295</v>
      </c>
      <c r="AG279" s="18">
        <v>46286.53601851852</v>
      </c>
      <c r="AH279" s="18">
        <v>46286.536087962966</v>
      </c>
      <c r="AI279" s="11"/>
      <c r="AJ279" s="18">
        <v>46286.536087962966</v>
      </c>
      <c r="AK279" s="11">
        <v>18253.0</v>
      </c>
      <c r="AL279" s="21" t="s">
        <v>1423</v>
      </c>
      <c r="AM279" s="16"/>
      <c r="AN279" s="16"/>
      <c r="AO279" s="23"/>
      <c r="AP279" s="16" t="s">
        <v>76</v>
      </c>
      <c r="AQ279" s="16">
        <v>3743.0</v>
      </c>
      <c r="AR279" s="16"/>
      <c r="AS279" s="11" t="s">
        <v>269</v>
      </c>
      <c r="AT279" s="11" t="s">
        <v>2296</v>
      </c>
      <c r="AU279" s="11" t="s">
        <v>2297</v>
      </c>
      <c r="AV279" s="11">
        <v>5.4038691E7</v>
      </c>
      <c r="AW279" s="11" t="s">
        <v>99</v>
      </c>
      <c r="AX279" s="11">
        <v>1.1540960504E10</v>
      </c>
      <c r="AY279" s="11" t="s">
        <v>2293</v>
      </c>
      <c r="AZ279" s="24">
        <v>41779.0</v>
      </c>
      <c r="BA279" s="11" t="s">
        <v>144</v>
      </c>
      <c r="BB279" s="11" t="s">
        <v>101</v>
      </c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</row>
    <row r="280" ht="19.5" customHeight="1">
      <c r="A280" s="10" t="b">
        <v>0</v>
      </c>
      <c r="B280" s="11"/>
      <c r="C280" s="13" t="s">
        <v>59</v>
      </c>
      <c r="D280" s="14" t="s">
        <v>60</v>
      </c>
      <c r="E280" s="11"/>
      <c r="F280" s="15" t="s">
        <v>4</v>
      </c>
      <c r="G280" s="16">
        <v>293.0</v>
      </c>
      <c r="H280" s="16"/>
      <c r="I280" s="16">
        <v>47016.0</v>
      </c>
      <c r="J280" s="11" t="s">
        <v>61</v>
      </c>
      <c r="K280" s="11" t="s">
        <v>62</v>
      </c>
      <c r="L280" s="18">
        <v>46286.415613425925</v>
      </c>
      <c r="M280" s="18">
        <v>46286.41568287037</v>
      </c>
      <c r="N280" s="11" t="s">
        <v>63</v>
      </c>
      <c r="O280" s="11">
        <v>0.0</v>
      </c>
      <c r="P280" s="11" t="s">
        <v>1134</v>
      </c>
      <c r="Q280" s="11" t="s">
        <v>2291</v>
      </c>
      <c r="R280" s="11"/>
      <c r="S280" s="11" t="s">
        <v>2292</v>
      </c>
      <c r="T280" s="11"/>
      <c r="U280" s="11" t="s">
        <v>1212</v>
      </c>
      <c r="V280" s="11" t="s">
        <v>68</v>
      </c>
      <c r="W280" s="11">
        <v>1640.0</v>
      </c>
      <c r="X280" s="11" t="s">
        <v>69</v>
      </c>
      <c r="Y280" s="11" t="s">
        <v>2293</v>
      </c>
      <c r="Z280" s="11">
        <v>5.41540960504E11</v>
      </c>
      <c r="AA280" s="11" t="s">
        <v>71</v>
      </c>
      <c r="AB280" s="11"/>
      <c r="AC280" s="11"/>
      <c r="AD280" s="18">
        <v>46286.41568287037</v>
      </c>
      <c r="AE280" s="11" t="s">
        <v>2298</v>
      </c>
      <c r="AF280" s="11" t="s">
        <v>2299</v>
      </c>
      <c r="AG280" s="18">
        <v>46286.540613425925</v>
      </c>
      <c r="AH280" s="18">
        <v>46286.54068287037</v>
      </c>
      <c r="AI280" s="11"/>
      <c r="AJ280" s="18">
        <v>46286.54068287037</v>
      </c>
      <c r="AK280" s="11">
        <v>18253.0</v>
      </c>
      <c r="AL280" s="21" t="s">
        <v>1423</v>
      </c>
      <c r="AM280" s="16"/>
      <c r="AN280" s="16"/>
      <c r="AO280" s="23"/>
      <c r="AP280" s="16" t="s">
        <v>76</v>
      </c>
      <c r="AQ280" s="16">
        <v>4045.0</v>
      </c>
      <c r="AR280" s="16"/>
      <c r="AS280" s="11" t="s">
        <v>269</v>
      </c>
      <c r="AT280" s="11" t="s">
        <v>588</v>
      </c>
      <c r="AU280" s="11" t="s">
        <v>2297</v>
      </c>
      <c r="AV280" s="11">
        <v>5.2030773E7</v>
      </c>
      <c r="AW280" s="11" t="s">
        <v>99</v>
      </c>
      <c r="AX280" s="11">
        <v>1.540960504E9</v>
      </c>
      <c r="AY280" s="11" t="s">
        <v>2293</v>
      </c>
      <c r="AZ280" s="24">
        <v>40956.0</v>
      </c>
      <c r="BA280" s="11" t="s">
        <v>144</v>
      </c>
      <c r="BB280" s="11" t="s">
        <v>81</v>
      </c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</row>
    <row r="281" ht="19.5" customHeight="1">
      <c r="A281" s="10" t="b">
        <v>0</v>
      </c>
      <c r="B281" s="11"/>
      <c r="C281" s="13" t="s">
        <v>59</v>
      </c>
      <c r="D281" s="14" t="s">
        <v>60</v>
      </c>
      <c r="E281" s="11"/>
      <c r="F281" s="15" t="s">
        <v>4</v>
      </c>
      <c r="G281" s="16">
        <v>297.0</v>
      </c>
      <c r="H281" s="16"/>
      <c r="I281" s="16">
        <v>47020.0</v>
      </c>
      <c r="J281" s="11" t="s">
        <v>61</v>
      </c>
      <c r="K281" s="11" t="s">
        <v>62</v>
      </c>
      <c r="L281" s="18">
        <v>46286.43282407407</v>
      </c>
      <c r="M281" s="18">
        <v>46286.43282407407</v>
      </c>
      <c r="N281" s="11" t="s">
        <v>63</v>
      </c>
      <c r="O281" s="11">
        <v>0.0</v>
      </c>
      <c r="P281" s="11" t="s">
        <v>727</v>
      </c>
      <c r="Q281" s="11" t="s">
        <v>728</v>
      </c>
      <c r="R281" s="11"/>
      <c r="S281" s="11" t="s">
        <v>729</v>
      </c>
      <c r="T281" s="11">
        <v>79.0</v>
      </c>
      <c r="U281" s="11" t="s">
        <v>730</v>
      </c>
      <c r="V281" s="11" t="s">
        <v>68</v>
      </c>
      <c r="W281" s="11">
        <v>1714.0</v>
      </c>
      <c r="X281" s="11" t="s">
        <v>69</v>
      </c>
      <c r="Y281" s="11" t="s">
        <v>731</v>
      </c>
      <c r="Z281" s="11">
        <v>5.491136476127E12</v>
      </c>
      <c r="AA281" s="11" t="s">
        <v>645</v>
      </c>
      <c r="AB281" s="11"/>
      <c r="AC281" s="11"/>
      <c r="AD281" s="11"/>
      <c r="AE281" s="11" t="s">
        <v>2300</v>
      </c>
      <c r="AF281" s="11" t="s">
        <v>2301</v>
      </c>
      <c r="AG281" s="18">
        <v>46286.55782407407</v>
      </c>
      <c r="AH281" s="18">
        <v>46286.55782407407</v>
      </c>
      <c r="AI281" s="11"/>
      <c r="AJ281" s="11"/>
      <c r="AK281" s="11">
        <v>18253.0</v>
      </c>
      <c r="AL281" s="21" t="s">
        <v>1423</v>
      </c>
      <c r="AM281" s="16"/>
      <c r="AN281" s="16"/>
      <c r="AO281" s="23"/>
      <c r="AP281" s="16" t="s">
        <v>76</v>
      </c>
      <c r="AQ281" s="16">
        <v>3123.0</v>
      </c>
      <c r="AR281" s="16"/>
      <c r="AS281" s="11" t="s">
        <v>735</v>
      </c>
      <c r="AT281" s="11" t="s">
        <v>2302</v>
      </c>
      <c r="AU281" s="11" t="s">
        <v>2303</v>
      </c>
      <c r="AV281" s="11">
        <v>5.3825401E7</v>
      </c>
      <c r="AW281" s="11" t="s">
        <v>99</v>
      </c>
      <c r="AX281" s="11">
        <v>5.491136476127E12</v>
      </c>
      <c r="AY281" s="11" t="s">
        <v>731</v>
      </c>
      <c r="AZ281" s="30">
        <v>41687.0</v>
      </c>
      <c r="BA281" s="11" t="s">
        <v>738</v>
      </c>
      <c r="BB281" s="11" t="s">
        <v>81</v>
      </c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</row>
    <row r="282" ht="19.5" customHeight="1">
      <c r="A282" s="10" t="b">
        <v>0</v>
      </c>
      <c r="B282" s="11"/>
      <c r="C282" s="13" t="s">
        <v>59</v>
      </c>
      <c r="D282" s="14" t="s">
        <v>60</v>
      </c>
      <c r="E282" s="11"/>
      <c r="F282" s="15" t="s">
        <v>4</v>
      </c>
      <c r="G282" s="16">
        <v>298.0</v>
      </c>
      <c r="H282" s="16"/>
      <c r="I282" s="16">
        <v>47021.0</v>
      </c>
      <c r="J282" s="11" t="s">
        <v>61</v>
      </c>
      <c r="K282" s="11" t="s">
        <v>62</v>
      </c>
      <c r="L282" s="18">
        <v>46286.434016203704</v>
      </c>
      <c r="M282" s="18">
        <v>46286.43403935185</v>
      </c>
      <c r="N282" s="11" t="s">
        <v>63</v>
      </c>
      <c r="O282" s="11">
        <v>0.0</v>
      </c>
      <c r="P282" s="11" t="s">
        <v>727</v>
      </c>
      <c r="Q282" s="11" t="s">
        <v>728</v>
      </c>
      <c r="R282" s="11"/>
      <c r="S282" s="11" t="s">
        <v>729</v>
      </c>
      <c r="T282" s="11">
        <v>79.0</v>
      </c>
      <c r="U282" s="11" t="s">
        <v>730</v>
      </c>
      <c r="V282" s="11" t="s">
        <v>68</v>
      </c>
      <c r="W282" s="11">
        <v>1714.0</v>
      </c>
      <c r="X282" s="11" t="s">
        <v>69</v>
      </c>
      <c r="Y282" s="11" t="s">
        <v>731</v>
      </c>
      <c r="Z282" s="11">
        <v>5.491136476127E12</v>
      </c>
      <c r="AA282" s="11" t="s">
        <v>645</v>
      </c>
      <c r="AB282" s="11"/>
      <c r="AC282" s="11"/>
      <c r="AD282" s="11"/>
      <c r="AE282" s="11" t="s">
        <v>2304</v>
      </c>
      <c r="AF282" s="11" t="s">
        <v>2305</v>
      </c>
      <c r="AG282" s="18">
        <v>46286.559016203704</v>
      </c>
      <c r="AH282" s="18">
        <v>46286.55903935185</v>
      </c>
      <c r="AI282" s="11"/>
      <c r="AJ282" s="11"/>
      <c r="AK282" s="11">
        <v>18253.0</v>
      </c>
      <c r="AL282" s="21" t="s">
        <v>1423</v>
      </c>
      <c r="AM282" s="16"/>
      <c r="AN282" s="16"/>
      <c r="AO282" s="23"/>
      <c r="AP282" s="16" t="s">
        <v>76</v>
      </c>
      <c r="AQ282" s="16">
        <v>3657.0</v>
      </c>
      <c r="AR282" s="16"/>
      <c r="AS282" s="11" t="s">
        <v>735</v>
      </c>
      <c r="AT282" s="11" t="s">
        <v>2306</v>
      </c>
      <c r="AU282" s="11" t="s">
        <v>2307</v>
      </c>
      <c r="AV282" s="11">
        <v>5.4289294E7</v>
      </c>
      <c r="AW282" s="11" t="s">
        <v>99</v>
      </c>
      <c r="AX282" s="11">
        <v>5.491136476127E12</v>
      </c>
      <c r="AY282" s="11" t="s">
        <v>731</v>
      </c>
      <c r="AZ282" s="30">
        <v>41933.0</v>
      </c>
      <c r="BA282" s="11" t="s">
        <v>738</v>
      </c>
      <c r="BB282" s="11" t="s">
        <v>81</v>
      </c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</row>
    <row r="283" ht="19.5" customHeight="1">
      <c r="A283" s="10" t="b">
        <v>0</v>
      </c>
      <c r="B283" s="11"/>
      <c r="C283" s="13" t="s">
        <v>59</v>
      </c>
      <c r="D283" s="14" t="s">
        <v>60</v>
      </c>
      <c r="E283" s="11"/>
      <c r="F283" s="15" t="s">
        <v>4</v>
      </c>
      <c r="G283" s="16">
        <v>299.0</v>
      </c>
      <c r="H283" s="16"/>
      <c r="I283" s="16">
        <v>47022.0</v>
      </c>
      <c r="J283" s="11" t="s">
        <v>61</v>
      </c>
      <c r="K283" s="11" t="s">
        <v>62</v>
      </c>
      <c r="L283" s="18">
        <v>46286.43509259259</v>
      </c>
      <c r="M283" s="18">
        <v>46286.43510416667</v>
      </c>
      <c r="N283" s="11" t="s">
        <v>63</v>
      </c>
      <c r="O283" s="11">
        <v>0.0</v>
      </c>
      <c r="P283" s="11" t="s">
        <v>727</v>
      </c>
      <c r="Q283" s="11" t="s">
        <v>728</v>
      </c>
      <c r="R283" s="11"/>
      <c r="S283" s="11" t="s">
        <v>729</v>
      </c>
      <c r="T283" s="11">
        <v>79.0</v>
      </c>
      <c r="U283" s="11" t="s">
        <v>730</v>
      </c>
      <c r="V283" s="11" t="s">
        <v>68</v>
      </c>
      <c r="W283" s="11">
        <v>1714.0</v>
      </c>
      <c r="X283" s="11" t="s">
        <v>69</v>
      </c>
      <c r="Y283" s="11" t="s">
        <v>731</v>
      </c>
      <c r="Z283" s="11">
        <v>5.491136476127E12</v>
      </c>
      <c r="AA283" s="11" t="s">
        <v>645</v>
      </c>
      <c r="AB283" s="11"/>
      <c r="AC283" s="11"/>
      <c r="AD283" s="11"/>
      <c r="AE283" s="11" t="s">
        <v>2308</v>
      </c>
      <c r="AF283" s="11" t="s">
        <v>2309</v>
      </c>
      <c r="AG283" s="18">
        <v>46286.56009259259</v>
      </c>
      <c r="AH283" s="18">
        <v>46286.56010416667</v>
      </c>
      <c r="AI283" s="11"/>
      <c r="AJ283" s="11"/>
      <c r="AK283" s="11">
        <v>18253.0</v>
      </c>
      <c r="AL283" s="21" t="s">
        <v>1423</v>
      </c>
      <c r="AM283" s="16"/>
      <c r="AN283" s="14" t="s">
        <v>39</v>
      </c>
      <c r="AO283" s="23"/>
      <c r="AP283" s="16" t="s">
        <v>76</v>
      </c>
      <c r="AQ283" s="16">
        <v>3513.0</v>
      </c>
      <c r="AR283" s="16"/>
      <c r="AS283" s="11" t="s">
        <v>735</v>
      </c>
      <c r="AT283" s="11" t="s">
        <v>2310</v>
      </c>
      <c r="AU283" s="11" t="s">
        <v>2311</v>
      </c>
      <c r="AV283" s="11">
        <v>5.361044E7</v>
      </c>
      <c r="AW283" s="11" t="s">
        <v>79</v>
      </c>
      <c r="AX283" s="11">
        <v>5.491136476127E12</v>
      </c>
      <c r="AY283" s="11" t="s">
        <v>731</v>
      </c>
      <c r="AZ283" s="30">
        <v>41630.0</v>
      </c>
      <c r="BA283" s="11" t="s">
        <v>738</v>
      </c>
      <c r="BB283" s="11" t="s">
        <v>81</v>
      </c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</row>
    <row r="284" ht="19.5" customHeight="1">
      <c r="A284" s="10" t="b">
        <v>0</v>
      </c>
      <c r="B284" s="11"/>
      <c r="C284" s="13" t="s">
        <v>60</v>
      </c>
      <c r="D284" s="14" t="s">
        <v>60</v>
      </c>
      <c r="E284" s="11"/>
      <c r="F284" s="15" t="s">
        <v>4</v>
      </c>
      <c r="G284" s="16">
        <v>301.0</v>
      </c>
      <c r="H284" s="16"/>
      <c r="I284" s="16">
        <v>47024.0</v>
      </c>
      <c r="J284" s="11" t="s">
        <v>61</v>
      </c>
      <c r="K284" s="11" t="s">
        <v>62</v>
      </c>
      <c r="L284" s="18">
        <v>46286.441400462965</v>
      </c>
      <c r="M284" s="18">
        <v>46286.441469907404</v>
      </c>
      <c r="N284" s="11" t="s">
        <v>63</v>
      </c>
      <c r="O284" s="11">
        <v>0.0</v>
      </c>
      <c r="P284" s="11" t="s">
        <v>1896</v>
      </c>
      <c r="Q284" s="11" t="s">
        <v>2312</v>
      </c>
      <c r="R284" s="11"/>
      <c r="S284" s="11" t="s">
        <v>2313</v>
      </c>
      <c r="T284" s="11"/>
      <c r="U284" s="11" t="s">
        <v>428</v>
      </c>
      <c r="V284" s="11" t="s">
        <v>68</v>
      </c>
      <c r="W284" s="11" t="s">
        <v>2314</v>
      </c>
      <c r="X284" s="11" t="s">
        <v>69</v>
      </c>
      <c r="Y284" s="11" t="s">
        <v>2315</v>
      </c>
      <c r="Z284" s="11">
        <v>5.41125860224E11</v>
      </c>
      <c r="AA284" s="11" t="s">
        <v>71</v>
      </c>
      <c r="AB284" s="11"/>
      <c r="AC284" s="11"/>
      <c r="AD284" s="11"/>
      <c r="AE284" s="11" t="s">
        <v>2316</v>
      </c>
      <c r="AF284" s="11" t="s">
        <v>2317</v>
      </c>
      <c r="AG284" s="18">
        <v>46286.566400462965</v>
      </c>
      <c r="AH284" s="18">
        <v>46286.566469907404</v>
      </c>
      <c r="AI284" s="11"/>
      <c r="AJ284" s="11"/>
      <c r="AK284" s="11">
        <v>18253.0</v>
      </c>
      <c r="AL284" s="21" t="s">
        <v>1423</v>
      </c>
      <c r="AM284" s="16"/>
      <c r="AN284" s="14" t="s">
        <v>39</v>
      </c>
      <c r="AO284" s="23"/>
      <c r="AP284" s="16" t="s">
        <v>76</v>
      </c>
      <c r="AQ284" s="16">
        <v>3827.0</v>
      </c>
      <c r="AR284" s="16"/>
      <c r="AS284" s="11" t="s">
        <v>433</v>
      </c>
      <c r="AT284" s="11" t="s">
        <v>2318</v>
      </c>
      <c r="AU284" s="11" t="s">
        <v>2319</v>
      </c>
      <c r="AV284" s="11">
        <v>5.2725071E7</v>
      </c>
      <c r="AW284" s="11" t="s">
        <v>79</v>
      </c>
      <c r="AX284" s="11">
        <v>1.125860224E9</v>
      </c>
      <c r="AY284" s="11" t="s">
        <v>2315</v>
      </c>
      <c r="AZ284" s="24">
        <v>41200.0</v>
      </c>
      <c r="BA284" s="11" t="s">
        <v>436</v>
      </c>
      <c r="BB284" s="11" t="s">
        <v>101</v>
      </c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</row>
    <row r="285" ht="19.5" customHeight="1">
      <c r="A285" s="10" t="b">
        <v>0</v>
      </c>
      <c r="B285" s="11"/>
      <c r="C285" s="13" t="s">
        <v>60</v>
      </c>
      <c r="D285" s="14" t="s">
        <v>60</v>
      </c>
      <c r="E285" s="11"/>
      <c r="F285" s="15" t="s">
        <v>4</v>
      </c>
      <c r="G285" s="16">
        <v>302.0</v>
      </c>
      <c r="H285" s="16"/>
      <c r="I285" s="16">
        <v>47025.0</v>
      </c>
      <c r="J285" s="11" t="s">
        <v>61</v>
      </c>
      <c r="K285" s="11" t="s">
        <v>62</v>
      </c>
      <c r="L285" s="18">
        <v>46286.44398148148</v>
      </c>
      <c r="M285" s="18">
        <v>46286.444027777776</v>
      </c>
      <c r="N285" s="11" t="s">
        <v>63</v>
      </c>
      <c r="O285" s="11">
        <v>0.0</v>
      </c>
      <c r="P285" s="11" t="s">
        <v>2320</v>
      </c>
      <c r="Q285" s="11" t="s">
        <v>2321</v>
      </c>
      <c r="R285" s="11"/>
      <c r="S285" s="11" t="s">
        <v>2322</v>
      </c>
      <c r="T285" s="11"/>
      <c r="U285" s="11" t="s">
        <v>2277</v>
      </c>
      <c r="V285" s="11" t="s">
        <v>68</v>
      </c>
      <c r="W285" s="11">
        <v>2800.0</v>
      </c>
      <c r="X285" s="11" t="s">
        <v>69</v>
      </c>
      <c r="Y285" s="11" t="s">
        <v>2323</v>
      </c>
      <c r="Z285" s="11">
        <v>5.493487536965E12</v>
      </c>
      <c r="AA285" s="11" t="s">
        <v>71</v>
      </c>
      <c r="AB285" s="11"/>
      <c r="AC285" s="11"/>
      <c r="AD285" s="11"/>
      <c r="AE285" s="11" t="s">
        <v>2324</v>
      </c>
      <c r="AF285" s="11" t="s">
        <v>2325</v>
      </c>
      <c r="AG285" s="18">
        <v>46286.56898148148</v>
      </c>
      <c r="AH285" s="18">
        <v>46286.569027777776</v>
      </c>
      <c r="AI285" s="11"/>
      <c r="AJ285" s="11"/>
      <c r="AK285" s="11">
        <v>18253.0</v>
      </c>
      <c r="AL285" s="21" t="s">
        <v>1423</v>
      </c>
      <c r="AM285" s="16"/>
      <c r="AN285" s="14" t="s">
        <v>39</v>
      </c>
      <c r="AO285" s="23" t="s">
        <v>2326</v>
      </c>
      <c r="AP285" s="16" t="s">
        <v>76</v>
      </c>
      <c r="AQ285" s="16">
        <v>4064.0</v>
      </c>
      <c r="AR285" s="16"/>
      <c r="AS285" s="11" t="s">
        <v>321</v>
      </c>
      <c r="AT285" s="11" t="s">
        <v>2252</v>
      </c>
      <c r="AU285" s="11" t="s">
        <v>2327</v>
      </c>
      <c r="AV285" s="11">
        <v>5.4297764E7</v>
      </c>
      <c r="AW285" s="11" t="s">
        <v>79</v>
      </c>
      <c r="AX285" s="11">
        <v>3.487536965E9</v>
      </c>
      <c r="AY285" s="11" t="s">
        <v>2323</v>
      </c>
      <c r="AZ285" s="24">
        <v>41886.0</v>
      </c>
      <c r="BA285" s="11" t="s">
        <v>436</v>
      </c>
      <c r="BB285" s="11" t="s">
        <v>101</v>
      </c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</row>
    <row r="286" ht="19.5" customHeight="1">
      <c r="A286" s="10" t="b">
        <v>0</v>
      </c>
      <c r="B286" s="11"/>
      <c r="C286" s="13" t="s">
        <v>60</v>
      </c>
      <c r="D286" s="14" t="s">
        <v>60</v>
      </c>
      <c r="E286" s="11"/>
      <c r="F286" s="15" t="s">
        <v>4</v>
      </c>
      <c r="G286" s="16">
        <v>304.0</v>
      </c>
      <c r="H286" s="16"/>
      <c r="I286" s="16">
        <v>47027.0</v>
      </c>
      <c r="J286" s="11" t="s">
        <v>402</v>
      </c>
      <c r="K286" s="11" t="s">
        <v>62</v>
      </c>
      <c r="L286" s="18">
        <v>46286.44792824074</v>
      </c>
      <c r="M286" s="18">
        <v>46286.44792824074</v>
      </c>
      <c r="N286" s="11" t="s">
        <v>63</v>
      </c>
      <c r="O286" s="11">
        <v>0.0</v>
      </c>
      <c r="P286" s="11" t="s">
        <v>2328</v>
      </c>
      <c r="Q286" s="11" t="s">
        <v>2329</v>
      </c>
      <c r="R286" s="11"/>
      <c r="S286" s="11" t="s">
        <v>2330</v>
      </c>
      <c r="T286" s="11" t="s">
        <v>2331</v>
      </c>
      <c r="U286" s="11" t="s">
        <v>125</v>
      </c>
      <c r="V286" s="11" t="s">
        <v>126</v>
      </c>
      <c r="W286" s="11">
        <v>1426.0</v>
      </c>
      <c r="X286" s="11" t="s">
        <v>69</v>
      </c>
      <c r="Y286" s="11" t="s">
        <v>2332</v>
      </c>
      <c r="Z286" s="11">
        <v>1.140304773E9</v>
      </c>
      <c r="AA286" s="11" t="s">
        <v>71</v>
      </c>
      <c r="AB286" s="11"/>
      <c r="AC286" s="11"/>
      <c r="AD286" s="11"/>
      <c r="AE286" s="11" t="s">
        <v>408</v>
      </c>
      <c r="AF286" s="11" t="s">
        <v>2333</v>
      </c>
      <c r="AG286" s="18">
        <v>46286.57292824074</v>
      </c>
      <c r="AH286" s="18">
        <v>46286.57292824074</v>
      </c>
      <c r="AI286" s="11"/>
      <c r="AJ286" s="11"/>
      <c r="AK286" s="11">
        <v>18253.0</v>
      </c>
      <c r="AL286" s="21" t="s">
        <v>1423</v>
      </c>
      <c r="AM286" s="16" t="s">
        <v>1426</v>
      </c>
      <c r="AN286" s="14" t="s">
        <v>39</v>
      </c>
      <c r="AO286" s="23"/>
      <c r="AP286" s="16" t="s">
        <v>76</v>
      </c>
      <c r="AQ286" s="16">
        <v>3872.0</v>
      </c>
      <c r="AR286" s="16"/>
      <c r="AS286" s="11" t="s">
        <v>197</v>
      </c>
      <c r="AT286" s="11" t="s">
        <v>2252</v>
      </c>
      <c r="AU286" s="11" t="s">
        <v>2334</v>
      </c>
      <c r="AV286" s="11">
        <v>5.4995572E7</v>
      </c>
      <c r="AW286" s="11" t="s">
        <v>79</v>
      </c>
      <c r="AX286" s="11">
        <v>1.140304773E9</v>
      </c>
      <c r="AY286" s="11" t="s">
        <v>2332</v>
      </c>
      <c r="AZ286" s="24">
        <v>42184.0</v>
      </c>
      <c r="BA286" s="11" t="s">
        <v>121</v>
      </c>
      <c r="BB286" s="11" t="s">
        <v>81</v>
      </c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</row>
    <row r="287" ht="19.5" customHeight="1">
      <c r="A287" s="10" t="b">
        <v>0</v>
      </c>
      <c r="B287" s="11"/>
      <c r="C287" s="13" t="s">
        <v>59</v>
      </c>
      <c r="D287" s="14" t="s">
        <v>60</v>
      </c>
      <c r="E287" s="11"/>
      <c r="F287" s="15" t="s">
        <v>4</v>
      </c>
      <c r="G287" s="16">
        <v>305.0</v>
      </c>
      <c r="H287" s="16"/>
      <c r="I287" s="16">
        <v>47028.0</v>
      </c>
      <c r="J287" s="11" t="s">
        <v>61</v>
      </c>
      <c r="K287" s="11" t="s">
        <v>62</v>
      </c>
      <c r="L287" s="18">
        <v>46286.44846064815</v>
      </c>
      <c r="M287" s="18">
        <v>46286.44872685185</v>
      </c>
      <c r="N287" s="11" t="s">
        <v>63</v>
      </c>
      <c r="O287" s="11">
        <v>0.0</v>
      </c>
      <c r="P287" s="11" t="s">
        <v>2335</v>
      </c>
      <c r="Q287" s="11" t="s">
        <v>2336</v>
      </c>
      <c r="R287" s="11"/>
      <c r="S287" s="11">
        <v>1.165688066E9</v>
      </c>
      <c r="T287" s="11"/>
      <c r="U287" s="11" t="s">
        <v>2337</v>
      </c>
      <c r="V287" s="11" t="s">
        <v>68</v>
      </c>
      <c r="W287" s="11">
        <v>1638.0</v>
      </c>
      <c r="X287" s="11" t="s">
        <v>69</v>
      </c>
      <c r="Y287" s="11" t="s">
        <v>2338</v>
      </c>
      <c r="Z287" s="11">
        <v>5.491165688066E12</v>
      </c>
      <c r="AA287" s="11" t="s">
        <v>71</v>
      </c>
      <c r="AB287" s="11"/>
      <c r="AC287" s="11"/>
      <c r="AD287" s="11"/>
      <c r="AE287" s="11" t="s">
        <v>2339</v>
      </c>
      <c r="AF287" s="11" t="s">
        <v>2340</v>
      </c>
      <c r="AG287" s="18">
        <v>46286.57346064815</v>
      </c>
      <c r="AH287" s="18">
        <v>46286.57372685185</v>
      </c>
      <c r="AI287" s="11"/>
      <c r="AJ287" s="11"/>
      <c r="AK287" s="11">
        <v>18253.0</v>
      </c>
      <c r="AL287" s="21" t="s">
        <v>1423</v>
      </c>
      <c r="AM287" s="16"/>
      <c r="AN287" s="16"/>
      <c r="AO287" s="23"/>
      <c r="AP287" s="16" t="s">
        <v>76</v>
      </c>
      <c r="AQ287" s="16">
        <v>4049.0</v>
      </c>
      <c r="AR287" s="16"/>
      <c r="AS287" s="11" t="s">
        <v>1068</v>
      </c>
      <c r="AT287" s="11" t="s">
        <v>120</v>
      </c>
      <c r="AU287" s="11" t="s">
        <v>2336</v>
      </c>
      <c r="AV287" s="11">
        <v>5.2856304E7</v>
      </c>
      <c r="AW287" s="11" t="s">
        <v>99</v>
      </c>
      <c r="AX287" s="11">
        <v>1.165688066E9</v>
      </c>
      <c r="AY287" s="11" t="s">
        <v>2338</v>
      </c>
      <c r="AZ287" s="24">
        <v>41238.0</v>
      </c>
      <c r="BA287" s="11" t="s">
        <v>100</v>
      </c>
      <c r="BB287" s="11" t="s">
        <v>81</v>
      </c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</row>
    <row r="288" ht="19.5" customHeight="1">
      <c r="A288" s="10" t="b">
        <v>0</v>
      </c>
      <c r="B288" s="11"/>
      <c r="C288" s="13" t="s">
        <v>60</v>
      </c>
      <c r="D288" s="14" t="s">
        <v>60</v>
      </c>
      <c r="E288" s="11"/>
      <c r="F288" s="15" t="s">
        <v>4</v>
      </c>
      <c r="G288" s="16">
        <v>307.0</v>
      </c>
      <c r="H288" s="16"/>
      <c r="I288" s="16">
        <v>47030.0</v>
      </c>
      <c r="J288" s="11" t="s">
        <v>61</v>
      </c>
      <c r="K288" s="11" t="s">
        <v>62</v>
      </c>
      <c r="L288" s="18">
        <v>46286.45064814815</v>
      </c>
      <c r="M288" s="18">
        <v>46286.45071759259</v>
      </c>
      <c r="N288" s="11" t="s">
        <v>63</v>
      </c>
      <c r="O288" s="11">
        <v>0.0</v>
      </c>
      <c r="P288" s="11" t="s">
        <v>1896</v>
      </c>
      <c r="Q288" s="11" t="s">
        <v>2312</v>
      </c>
      <c r="R288" s="11"/>
      <c r="S288" s="11" t="s">
        <v>2313</v>
      </c>
      <c r="T288" s="11"/>
      <c r="U288" s="11" t="s">
        <v>428</v>
      </c>
      <c r="V288" s="11" t="s">
        <v>68</v>
      </c>
      <c r="W288" s="11" t="s">
        <v>2314</v>
      </c>
      <c r="X288" s="11" t="s">
        <v>69</v>
      </c>
      <c r="Y288" s="11" t="s">
        <v>2315</v>
      </c>
      <c r="Z288" s="11">
        <v>5.41125860224E11</v>
      </c>
      <c r="AA288" s="11" t="s">
        <v>71</v>
      </c>
      <c r="AB288" s="11"/>
      <c r="AC288" s="11"/>
      <c r="AD288" s="18">
        <v>46286.45071759259</v>
      </c>
      <c r="AE288" s="11" t="s">
        <v>2341</v>
      </c>
      <c r="AF288" s="11" t="s">
        <v>2342</v>
      </c>
      <c r="AG288" s="18">
        <v>46286.57564814815</v>
      </c>
      <c r="AH288" s="18">
        <v>46286.57571759259</v>
      </c>
      <c r="AI288" s="11"/>
      <c r="AJ288" s="18">
        <v>46286.57571759259</v>
      </c>
      <c r="AK288" s="11">
        <v>18253.0</v>
      </c>
      <c r="AL288" s="21" t="s">
        <v>1423</v>
      </c>
      <c r="AM288" s="16"/>
      <c r="AN288" s="14" t="s">
        <v>39</v>
      </c>
      <c r="AO288" s="23"/>
      <c r="AP288" s="16" t="s">
        <v>76</v>
      </c>
      <c r="AQ288" s="16">
        <v>2695.0</v>
      </c>
      <c r="AR288" s="16"/>
      <c r="AS288" s="11" t="s">
        <v>433</v>
      </c>
      <c r="AT288" s="11" t="s">
        <v>2343</v>
      </c>
      <c r="AU288" s="11" t="s">
        <v>2319</v>
      </c>
      <c r="AV288" s="11">
        <v>5.3747558E7</v>
      </c>
      <c r="AW288" s="11" t="s">
        <v>79</v>
      </c>
      <c r="AX288" s="11">
        <v>1.125860224E9</v>
      </c>
      <c r="AY288" s="11" t="s">
        <v>2315</v>
      </c>
      <c r="AZ288" s="24">
        <v>41635.0</v>
      </c>
      <c r="BA288" s="11" t="s">
        <v>436</v>
      </c>
      <c r="BB288" s="11" t="s">
        <v>101</v>
      </c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</row>
    <row r="289" ht="19.5" customHeight="1">
      <c r="A289" s="10" t="b">
        <v>0</v>
      </c>
      <c r="B289" s="11"/>
      <c r="C289" s="13" t="s">
        <v>60</v>
      </c>
      <c r="D289" s="14" t="s">
        <v>60</v>
      </c>
      <c r="E289" s="11"/>
      <c r="F289" s="15" t="s">
        <v>4</v>
      </c>
      <c r="G289" s="16">
        <v>308.0</v>
      </c>
      <c r="H289" s="16"/>
      <c r="I289" s="16">
        <v>47031.0</v>
      </c>
      <c r="J289" s="11" t="s">
        <v>61</v>
      </c>
      <c r="K289" s="11" t="s">
        <v>62</v>
      </c>
      <c r="L289" s="18">
        <v>46286.4528587963</v>
      </c>
      <c r="M289" s="18">
        <v>46286.45295138889</v>
      </c>
      <c r="N289" s="11" t="s">
        <v>63</v>
      </c>
      <c r="O289" s="11">
        <v>0.0</v>
      </c>
      <c r="P289" s="11" t="s">
        <v>1896</v>
      </c>
      <c r="Q289" s="11" t="s">
        <v>2312</v>
      </c>
      <c r="R289" s="11"/>
      <c r="S289" s="11" t="s">
        <v>2313</v>
      </c>
      <c r="T289" s="11"/>
      <c r="U289" s="11" t="s">
        <v>428</v>
      </c>
      <c r="V289" s="11" t="s">
        <v>68</v>
      </c>
      <c r="W289" s="11" t="s">
        <v>2314</v>
      </c>
      <c r="X289" s="11" t="s">
        <v>69</v>
      </c>
      <c r="Y289" s="11" t="s">
        <v>2315</v>
      </c>
      <c r="Z289" s="11">
        <v>5.41125860224E11</v>
      </c>
      <c r="AA289" s="11" t="s">
        <v>71</v>
      </c>
      <c r="AB289" s="11"/>
      <c r="AC289" s="11"/>
      <c r="AD289" s="11"/>
      <c r="AE289" s="11" t="s">
        <v>2344</v>
      </c>
      <c r="AF289" s="11" t="s">
        <v>2345</v>
      </c>
      <c r="AG289" s="18">
        <v>46286.5778587963</v>
      </c>
      <c r="AH289" s="18">
        <v>46286.57795138889</v>
      </c>
      <c r="AI289" s="11"/>
      <c r="AJ289" s="11"/>
      <c r="AK289" s="11">
        <v>18253.0</v>
      </c>
      <c r="AL289" s="21" t="s">
        <v>1423</v>
      </c>
      <c r="AM289" s="16" t="s">
        <v>1426</v>
      </c>
      <c r="AN289" s="14" t="s">
        <v>39</v>
      </c>
      <c r="AO289" s="23"/>
      <c r="AP289" s="16" t="s">
        <v>76</v>
      </c>
      <c r="AQ289" s="16">
        <v>3888.0</v>
      </c>
      <c r="AR289" s="16"/>
      <c r="AS289" s="11" t="s">
        <v>433</v>
      </c>
      <c r="AT289" s="11" t="s">
        <v>764</v>
      </c>
      <c r="AU289" s="11" t="s">
        <v>2319</v>
      </c>
      <c r="AV289" s="11">
        <v>5.5198717E7</v>
      </c>
      <c r="AW289" s="11" t="s">
        <v>79</v>
      </c>
      <c r="AX289" s="11">
        <v>1.125860224E9</v>
      </c>
      <c r="AY289" s="11" t="s">
        <v>2315</v>
      </c>
      <c r="AZ289" s="24">
        <v>42325.0</v>
      </c>
      <c r="BA289" s="11" t="s">
        <v>436</v>
      </c>
      <c r="BB289" s="11" t="s">
        <v>101</v>
      </c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</row>
    <row r="290" ht="19.5" customHeight="1">
      <c r="A290" s="10" t="b">
        <v>0</v>
      </c>
      <c r="B290" s="11"/>
      <c r="C290" s="13" t="s">
        <v>60</v>
      </c>
      <c r="D290" s="14" t="s">
        <v>60</v>
      </c>
      <c r="E290" s="11"/>
      <c r="F290" s="15" t="s">
        <v>4</v>
      </c>
      <c r="G290" s="16">
        <v>310.0</v>
      </c>
      <c r="H290" s="16"/>
      <c r="I290" s="16">
        <v>47033.0</v>
      </c>
      <c r="J290" s="11" t="s">
        <v>61</v>
      </c>
      <c r="K290" s="11" t="s">
        <v>62</v>
      </c>
      <c r="L290" s="18">
        <v>46286.45581018519</v>
      </c>
      <c r="M290" s="18">
        <v>46286.45590277778</v>
      </c>
      <c r="N290" s="11" t="s">
        <v>63</v>
      </c>
      <c r="O290" s="11">
        <v>0.0</v>
      </c>
      <c r="P290" s="11" t="s">
        <v>812</v>
      </c>
      <c r="Q290" s="11" t="s">
        <v>813</v>
      </c>
      <c r="R290" s="11"/>
      <c r="S290" s="11" t="s">
        <v>814</v>
      </c>
      <c r="T290" s="11" t="s">
        <v>815</v>
      </c>
      <c r="U290" s="11" t="s">
        <v>158</v>
      </c>
      <c r="V290" s="11" t="s">
        <v>68</v>
      </c>
      <c r="W290" s="11" t="s">
        <v>816</v>
      </c>
      <c r="X290" s="11" t="s">
        <v>69</v>
      </c>
      <c r="Y290" s="11" t="s">
        <v>817</v>
      </c>
      <c r="Z290" s="11">
        <v>5.41130061435E11</v>
      </c>
      <c r="AA290" s="11" t="s">
        <v>71</v>
      </c>
      <c r="AB290" s="11"/>
      <c r="AC290" s="11"/>
      <c r="AD290" s="18">
        <v>46286.45590277778</v>
      </c>
      <c r="AE290" s="11" t="s">
        <v>2346</v>
      </c>
      <c r="AF290" s="11" t="s">
        <v>2347</v>
      </c>
      <c r="AG290" s="18">
        <v>46286.58081018519</v>
      </c>
      <c r="AH290" s="18">
        <v>46286.58090277778</v>
      </c>
      <c r="AI290" s="11"/>
      <c r="AJ290" s="18">
        <v>46286.58090277778</v>
      </c>
      <c r="AK290" s="11">
        <v>18253.0</v>
      </c>
      <c r="AL290" s="21" t="s">
        <v>1423</v>
      </c>
      <c r="AM290" s="16"/>
      <c r="AN290" s="16"/>
      <c r="AO290" s="23"/>
      <c r="AP290" s="16" t="s">
        <v>76</v>
      </c>
      <c r="AQ290" s="16">
        <v>4274.0</v>
      </c>
      <c r="AR290" s="16"/>
      <c r="AS290" s="11" t="s">
        <v>251</v>
      </c>
      <c r="AT290" s="11" t="s">
        <v>120</v>
      </c>
      <c r="AU290" s="11" t="s">
        <v>813</v>
      </c>
      <c r="AV290" s="11">
        <v>5.3584723E7</v>
      </c>
      <c r="AW290" s="11" t="s">
        <v>99</v>
      </c>
      <c r="AX290" s="11">
        <v>1.130061435E9</v>
      </c>
      <c r="AY290" s="11" t="s">
        <v>821</v>
      </c>
      <c r="AZ290" s="24">
        <v>41603.0</v>
      </c>
      <c r="BA290" s="11" t="s">
        <v>100</v>
      </c>
      <c r="BB290" s="11" t="s">
        <v>101</v>
      </c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</row>
    <row r="291" ht="19.5" customHeight="1">
      <c r="A291" s="10" t="b">
        <v>0</v>
      </c>
      <c r="B291" s="11"/>
      <c r="C291" s="13" t="s">
        <v>60</v>
      </c>
      <c r="D291" s="14" t="s">
        <v>60</v>
      </c>
      <c r="E291" s="11"/>
      <c r="F291" s="15" t="s">
        <v>4</v>
      </c>
      <c r="G291" s="16">
        <v>311.0</v>
      </c>
      <c r="H291" s="16"/>
      <c r="I291" s="16">
        <v>47034.0</v>
      </c>
      <c r="J291" s="11" t="s">
        <v>61</v>
      </c>
      <c r="K291" s="11" t="s">
        <v>62</v>
      </c>
      <c r="L291" s="18">
        <v>46286.45762731481</v>
      </c>
      <c r="M291" s="18">
        <v>46286.45769675926</v>
      </c>
      <c r="N291" s="11" t="s">
        <v>63</v>
      </c>
      <c r="O291" s="11">
        <v>0.0</v>
      </c>
      <c r="P291" s="11" t="s">
        <v>2348</v>
      </c>
      <c r="Q291" s="11" t="s">
        <v>2349</v>
      </c>
      <c r="R291" s="11"/>
      <c r="S291" s="11" t="s">
        <v>730</v>
      </c>
      <c r="T291" s="11">
        <v>328.0</v>
      </c>
      <c r="U291" s="11" t="s">
        <v>316</v>
      </c>
      <c r="V291" s="11" t="s">
        <v>68</v>
      </c>
      <c r="W291" s="11" t="s">
        <v>2350</v>
      </c>
      <c r="X291" s="11" t="s">
        <v>69</v>
      </c>
      <c r="Y291" s="11" t="s">
        <v>2323</v>
      </c>
      <c r="Z291" s="11">
        <v>3.487536965E9</v>
      </c>
      <c r="AA291" s="11" t="s">
        <v>71</v>
      </c>
      <c r="AB291" s="11"/>
      <c r="AC291" s="11"/>
      <c r="AD291" s="18">
        <v>46286.45769675926</v>
      </c>
      <c r="AE291" s="11" t="s">
        <v>2351</v>
      </c>
      <c r="AF291" s="11" t="s">
        <v>2352</v>
      </c>
      <c r="AG291" s="18">
        <v>46286.58262731481</v>
      </c>
      <c r="AH291" s="18">
        <v>46286.58269675926</v>
      </c>
      <c r="AI291" s="11"/>
      <c r="AJ291" s="18">
        <v>46286.58269675926</v>
      </c>
      <c r="AK291" s="11">
        <v>18253.0</v>
      </c>
      <c r="AL291" s="21" t="s">
        <v>1423</v>
      </c>
      <c r="AM291" s="16"/>
      <c r="AN291" s="16"/>
      <c r="AO291" s="23"/>
      <c r="AP291" s="16" t="s">
        <v>76</v>
      </c>
      <c r="AQ291" s="16">
        <v>4350.0</v>
      </c>
      <c r="AR291" s="16"/>
      <c r="AS291" s="11" t="s">
        <v>321</v>
      </c>
      <c r="AT291" s="11" t="s">
        <v>530</v>
      </c>
      <c r="AU291" s="11" t="s">
        <v>2327</v>
      </c>
      <c r="AV291" s="11">
        <v>5.2136031E7</v>
      </c>
      <c r="AW291" s="11" t="s">
        <v>99</v>
      </c>
      <c r="AX291" s="11">
        <v>3.487536965E9</v>
      </c>
      <c r="AY291" s="11" t="s">
        <v>2323</v>
      </c>
      <c r="AZ291" s="24">
        <v>40917.0</v>
      </c>
      <c r="BA291" s="11" t="s">
        <v>436</v>
      </c>
      <c r="BB291" s="11" t="s">
        <v>349</v>
      </c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</row>
    <row r="292" ht="19.5" customHeight="1">
      <c r="A292" s="10" t="b">
        <v>1</v>
      </c>
      <c r="B292" s="42" t="s">
        <v>1687</v>
      </c>
      <c r="C292" s="13" t="s">
        <v>60</v>
      </c>
      <c r="D292" s="14" t="s">
        <v>60</v>
      </c>
      <c r="E292" s="11"/>
      <c r="F292" s="15" t="s">
        <v>4</v>
      </c>
      <c r="G292" s="16">
        <v>315.0</v>
      </c>
      <c r="H292" s="16"/>
      <c r="I292" s="16">
        <v>47038.0</v>
      </c>
      <c r="J292" s="11" t="s">
        <v>61</v>
      </c>
      <c r="K292" s="11" t="s">
        <v>62</v>
      </c>
      <c r="L292" s="18">
        <v>46286.46518518519</v>
      </c>
      <c r="M292" s="18">
        <v>46286.46530092593</v>
      </c>
      <c r="N292" s="11" t="s">
        <v>63</v>
      </c>
      <c r="O292" s="11">
        <v>0.0</v>
      </c>
      <c r="P292" s="11" t="s">
        <v>338</v>
      </c>
      <c r="Q292" s="11" t="s">
        <v>1087</v>
      </c>
      <c r="R292" s="11"/>
      <c r="S292" s="11" t="s">
        <v>1088</v>
      </c>
      <c r="T292" s="11"/>
      <c r="U292" s="11" t="s">
        <v>134</v>
      </c>
      <c r="V292" s="11" t="s">
        <v>784</v>
      </c>
      <c r="W292" s="11"/>
      <c r="X292" s="11" t="s">
        <v>169</v>
      </c>
      <c r="Y292" s="11" t="s">
        <v>1089</v>
      </c>
      <c r="Z292" s="11">
        <v>5.6994494692E10</v>
      </c>
      <c r="AA292" s="11" t="s">
        <v>71</v>
      </c>
      <c r="AB292" s="11"/>
      <c r="AC292" s="11"/>
      <c r="AD292" s="18">
        <v>46286.46530092593</v>
      </c>
      <c r="AE292" s="11" t="s">
        <v>2353</v>
      </c>
      <c r="AF292" s="11" t="s">
        <v>2354</v>
      </c>
      <c r="AG292" s="18">
        <v>46286.59018518519</v>
      </c>
      <c r="AH292" s="18">
        <v>46286.59030092593</v>
      </c>
      <c r="AI292" s="11"/>
      <c r="AJ292" s="18">
        <v>46286.59030092593</v>
      </c>
      <c r="AK292" s="11">
        <v>18253.0</v>
      </c>
      <c r="AL292" s="21" t="s">
        <v>1423</v>
      </c>
      <c r="AM292" s="16"/>
      <c r="AN292" s="16"/>
      <c r="AO292" s="23"/>
      <c r="AP292" s="16" t="s">
        <v>175</v>
      </c>
      <c r="AQ292" s="16">
        <v>292.0</v>
      </c>
      <c r="AR292" s="16"/>
      <c r="AS292" s="42" t="s">
        <v>2355</v>
      </c>
      <c r="AT292" s="11" t="s">
        <v>338</v>
      </c>
      <c r="AU292" s="11" t="s">
        <v>1087</v>
      </c>
      <c r="AV292" s="11">
        <v>1.36871218E8</v>
      </c>
      <c r="AW292" s="11" t="s">
        <v>99</v>
      </c>
      <c r="AX292" s="11">
        <v>5.6994494692E10</v>
      </c>
      <c r="AY292" s="11" t="s">
        <v>2356</v>
      </c>
      <c r="AZ292" s="24">
        <v>41751.0</v>
      </c>
      <c r="BA292" s="11" t="s">
        <v>1093</v>
      </c>
      <c r="BB292" s="11" t="s">
        <v>101</v>
      </c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</row>
    <row r="293" ht="19.5" customHeight="1">
      <c r="A293" s="10" t="b">
        <v>0</v>
      </c>
      <c r="B293" s="11"/>
      <c r="C293" s="13" t="s">
        <v>60</v>
      </c>
      <c r="D293" s="14" t="s">
        <v>60</v>
      </c>
      <c r="E293" s="11"/>
      <c r="F293" s="15" t="s">
        <v>4</v>
      </c>
      <c r="G293" s="16">
        <v>316.0</v>
      </c>
      <c r="H293" s="16"/>
      <c r="I293" s="16">
        <v>47039.0</v>
      </c>
      <c r="J293" s="11" t="s">
        <v>61</v>
      </c>
      <c r="K293" s="11" t="s">
        <v>62</v>
      </c>
      <c r="L293" s="18">
        <v>46286.4684837963</v>
      </c>
      <c r="M293" s="18">
        <v>46286.46857638889</v>
      </c>
      <c r="N293" s="11" t="s">
        <v>63</v>
      </c>
      <c r="O293" s="11">
        <v>0.0</v>
      </c>
      <c r="P293" s="11" t="s">
        <v>2357</v>
      </c>
      <c r="Q293" s="11" t="s">
        <v>1743</v>
      </c>
      <c r="R293" s="11"/>
      <c r="S293" s="11" t="s">
        <v>2358</v>
      </c>
      <c r="T293" s="11"/>
      <c r="U293" s="11" t="s">
        <v>977</v>
      </c>
      <c r="V293" s="11"/>
      <c r="W293" s="11">
        <v>2930.0</v>
      </c>
      <c r="X293" s="11" t="s">
        <v>60</v>
      </c>
      <c r="Y293" s="11" t="s">
        <v>2359</v>
      </c>
      <c r="Z293" s="11" t="s">
        <v>2360</v>
      </c>
      <c r="AA293" s="11" t="s">
        <v>71</v>
      </c>
      <c r="AB293" s="11"/>
      <c r="AC293" s="11"/>
      <c r="AD293" s="11"/>
      <c r="AE293" s="11" t="s">
        <v>2361</v>
      </c>
      <c r="AF293" s="11" t="s">
        <v>2362</v>
      </c>
      <c r="AG293" s="18">
        <v>46286.5934837963</v>
      </c>
      <c r="AH293" s="18">
        <v>46286.59357638889</v>
      </c>
      <c r="AI293" s="11"/>
      <c r="AJ293" s="11"/>
      <c r="AK293" s="11">
        <v>18253.0</v>
      </c>
      <c r="AL293" s="21" t="s">
        <v>1423</v>
      </c>
      <c r="AM293" s="16"/>
      <c r="AN293" s="14" t="s">
        <v>39</v>
      </c>
      <c r="AO293" s="23"/>
      <c r="AP293" s="16" t="s">
        <v>76</v>
      </c>
      <c r="AQ293" s="16">
        <v>4360.0</v>
      </c>
      <c r="AR293" s="16"/>
      <c r="AS293" s="11" t="s">
        <v>218</v>
      </c>
      <c r="AT293" s="11" t="s">
        <v>2363</v>
      </c>
      <c r="AU293" s="11" t="s">
        <v>2152</v>
      </c>
      <c r="AV293" s="11">
        <v>5.2585613E7</v>
      </c>
      <c r="AW293" s="11" t="s">
        <v>79</v>
      </c>
      <c r="AX293" s="11">
        <v>3.329339563E9</v>
      </c>
      <c r="AY293" s="11" t="s">
        <v>2359</v>
      </c>
      <c r="AZ293" s="24">
        <v>41058.0</v>
      </c>
      <c r="BA293" s="11" t="s">
        <v>2364</v>
      </c>
      <c r="BB293" s="11" t="s">
        <v>101</v>
      </c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</row>
    <row r="294" ht="19.5" customHeight="1">
      <c r="A294" s="10" t="b">
        <v>1</v>
      </c>
      <c r="B294" s="42" t="s">
        <v>1687</v>
      </c>
      <c r="C294" s="13" t="s">
        <v>60</v>
      </c>
      <c r="D294" s="14" t="s">
        <v>60</v>
      </c>
      <c r="E294" s="11"/>
      <c r="F294" s="15" t="s">
        <v>4</v>
      </c>
      <c r="G294" s="16">
        <v>317.0</v>
      </c>
      <c r="H294" s="16"/>
      <c r="I294" s="16">
        <v>47040.0</v>
      </c>
      <c r="J294" s="11" t="s">
        <v>61</v>
      </c>
      <c r="K294" s="11" t="s">
        <v>62</v>
      </c>
      <c r="L294" s="18">
        <v>46286.46878472222</v>
      </c>
      <c r="M294" s="18">
        <v>46286.46886574074</v>
      </c>
      <c r="N294" s="11" t="s">
        <v>63</v>
      </c>
      <c r="O294" s="11">
        <v>0.0</v>
      </c>
      <c r="P294" s="11" t="s">
        <v>338</v>
      </c>
      <c r="Q294" s="11" t="s">
        <v>1087</v>
      </c>
      <c r="R294" s="11"/>
      <c r="S294" s="11" t="s">
        <v>1088</v>
      </c>
      <c r="T294" s="11"/>
      <c r="U294" s="11" t="s">
        <v>134</v>
      </c>
      <c r="V294" s="11" t="s">
        <v>784</v>
      </c>
      <c r="W294" s="11"/>
      <c r="X294" s="11" t="s">
        <v>169</v>
      </c>
      <c r="Y294" s="11" t="s">
        <v>1089</v>
      </c>
      <c r="Z294" s="11">
        <v>5.6994494692E10</v>
      </c>
      <c r="AA294" s="11" t="s">
        <v>71</v>
      </c>
      <c r="AB294" s="11"/>
      <c r="AC294" s="11"/>
      <c r="AD294" s="11"/>
      <c r="AE294" s="11" t="s">
        <v>2365</v>
      </c>
      <c r="AF294" s="11" t="s">
        <v>2366</v>
      </c>
      <c r="AG294" s="18">
        <v>46286.59378472222</v>
      </c>
      <c r="AH294" s="18">
        <v>46286.59386574074</v>
      </c>
      <c r="AI294" s="11"/>
      <c r="AJ294" s="11"/>
      <c r="AK294" s="11">
        <v>18253.0</v>
      </c>
      <c r="AL294" s="21" t="s">
        <v>1423</v>
      </c>
      <c r="AM294" s="16"/>
      <c r="AN294" s="16"/>
      <c r="AO294" s="23"/>
      <c r="AP294" s="16" t="s">
        <v>175</v>
      </c>
      <c r="AQ294" s="16">
        <v>239.0</v>
      </c>
      <c r="AR294" s="16"/>
      <c r="AS294" s="42" t="s">
        <v>2355</v>
      </c>
      <c r="AT294" s="11" t="s">
        <v>86</v>
      </c>
      <c r="AU294" s="11" t="s">
        <v>1087</v>
      </c>
      <c r="AV294" s="11">
        <v>2.46964016E8</v>
      </c>
      <c r="AW294" s="11" t="s">
        <v>99</v>
      </c>
      <c r="AX294" s="11">
        <v>5.6994494692E10</v>
      </c>
      <c r="AY294" s="11" t="s">
        <v>2367</v>
      </c>
      <c r="AZ294" s="24">
        <v>41751.0</v>
      </c>
      <c r="BA294" s="11" t="s">
        <v>1093</v>
      </c>
      <c r="BB294" s="11" t="s">
        <v>101</v>
      </c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</row>
    <row r="295" ht="19.5" customHeight="1">
      <c r="A295" s="10" t="b">
        <v>0</v>
      </c>
      <c r="B295" s="11"/>
      <c r="C295" s="13" t="s">
        <v>60</v>
      </c>
      <c r="D295" s="14" t="s">
        <v>60</v>
      </c>
      <c r="E295" s="11"/>
      <c r="F295" s="15" t="s">
        <v>4</v>
      </c>
      <c r="G295" s="16">
        <v>328.0</v>
      </c>
      <c r="H295" s="16"/>
      <c r="I295" s="16">
        <v>47051.0</v>
      </c>
      <c r="J295" s="11" t="s">
        <v>61</v>
      </c>
      <c r="K295" s="11" t="s">
        <v>62</v>
      </c>
      <c r="L295" s="18">
        <v>46286.50074074074</v>
      </c>
      <c r="M295" s="18">
        <v>46286.500810185185</v>
      </c>
      <c r="N295" s="11" t="s">
        <v>63</v>
      </c>
      <c r="O295" s="11">
        <v>0.0</v>
      </c>
      <c r="P295" s="11" t="s">
        <v>1963</v>
      </c>
      <c r="Q295" s="11" t="s">
        <v>2368</v>
      </c>
      <c r="R295" s="11"/>
      <c r="S295" s="11" t="s">
        <v>2369</v>
      </c>
      <c r="T295" s="11" t="s">
        <v>2370</v>
      </c>
      <c r="U295" s="11" t="s">
        <v>580</v>
      </c>
      <c r="V295" s="11" t="s">
        <v>68</v>
      </c>
      <c r="W295" s="11">
        <v>1642.0</v>
      </c>
      <c r="X295" s="11" t="s">
        <v>69</v>
      </c>
      <c r="Y295" s="11" t="s">
        <v>2371</v>
      </c>
      <c r="Z295" s="11">
        <v>5.41158461098E11</v>
      </c>
      <c r="AA295" s="11" t="s">
        <v>71</v>
      </c>
      <c r="AB295" s="11"/>
      <c r="AC295" s="11"/>
      <c r="AD295" s="18">
        <v>46286.500810185185</v>
      </c>
      <c r="AE295" s="11" t="s">
        <v>2372</v>
      </c>
      <c r="AF295" s="11" t="s">
        <v>2373</v>
      </c>
      <c r="AG295" s="18">
        <v>46286.62574074074</v>
      </c>
      <c r="AH295" s="18">
        <v>46286.625810185185</v>
      </c>
      <c r="AI295" s="11"/>
      <c r="AJ295" s="18">
        <v>46286.625810185185</v>
      </c>
      <c r="AK295" s="11">
        <v>18253.0</v>
      </c>
      <c r="AL295" s="21" t="s">
        <v>1423</v>
      </c>
      <c r="AM295" s="16" t="s">
        <v>1426</v>
      </c>
      <c r="AN295" s="16"/>
      <c r="AO295" s="23" t="s">
        <v>2374</v>
      </c>
      <c r="AP295" s="16" t="s">
        <v>76</v>
      </c>
      <c r="AQ295" s="16">
        <v>3788.0</v>
      </c>
      <c r="AR295" s="16"/>
      <c r="AS295" s="11" t="s">
        <v>240</v>
      </c>
      <c r="AT295" s="11" t="s">
        <v>2375</v>
      </c>
      <c r="AU295" s="11" t="s">
        <v>2368</v>
      </c>
      <c r="AV295" s="11">
        <v>5.5270307E7</v>
      </c>
      <c r="AW295" s="11" t="s">
        <v>99</v>
      </c>
      <c r="AX295" s="11">
        <v>1.158461098E9</v>
      </c>
      <c r="AY295" s="11" t="s">
        <v>2371</v>
      </c>
      <c r="AZ295" s="31">
        <v>42383.0</v>
      </c>
      <c r="BA295" s="11" t="s">
        <v>100</v>
      </c>
      <c r="BB295" s="11" t="s">
        <v>101</v>
      </c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</row>
    <row r="296" ht="19.5" customHeight="1">
      <c r="A296" s="10" t="b">
        <v>1</v>
      </c>
      <c r="B296" s="42" t="s">
        <v>2376</v>
      </c>
      <c r="C296" s="13" t="s">
        <v>60</v>
      </c>
      <c r="D296" s="14" t="s">
        <v>59</v>
      </c>
      <c r="E296" s="11"/>
      <c r="F296" s="15" t="s">
        <v>4</v>
      </c>
      <c r="G296" s="16">
        <v>330.0</v>
      </c>
      <c r="H296" s="16"/>
      <c r="I296" s="16">
        <v>47053.0</v>
      </c>
      <c r="J296" s="11" t="s">
        <v>61</v>
      </c>
      <c r="K296" s="11" t="s">
        <v>62</v>
      </c>
      <c r="L296" s="18">
        <v>46286.509560185186</v>
      </c>
      <c r="M296" s="18">
        <v>46286.5096412037</v>
      </c>
      <c r="N296" s="11" t="s">
        <v>133</v>
      </c>
      <c r="O296" s="11">
        <v>0.0</v>
      </c>
      <c r="P296" s="11" t="s">
        <v>1470</v>
      </c>
      <c r="Q296" s="11" t="s">
        <v>2377</v>
      </c>
      <c r="R296" s="11"/>
      <c r="S296" s="11" t="s">
        <v>2378</v>
      </c>
      <c r="T296" s="11" t="s">
        <v>2379</v>
      </c>
      <c r="U296" s="11" t="s">
        <v>134</v>
      </c>
      <c r="V296" s="11" t="s">
        <v>784</v>
      </c>
      <c r="W296" s="11"/>
      <c r="X296" s="11" t="s">
        <v>169</v>
      </c>
      <c r="Y296" s="11" t="s">
        <v>2380</v>
      </c>
      <c r="Z296" s="11">
        <v>5.6982283661E10</v>
      </c>
      <c r="AA296" s="11" t="s">
        <v>71</v>
      </c>
      <c r="AB296" s="11"/>
      <c r="AC296" s="11"/>
      <c r="AD296" s="18">
        <v>46286.5096412037</v>
      </c>
      <c r="AE296" s="11" t="s">
        <v>2381</v>
      </c>
      <c r="AF296" s="11" t="s">
        <v>2382</v>
      </c>
      <c r="AG296" s="18">
        <v>46286.634560185186</v>
      </c>
      <c r="AH296" s="18">
        <v>46286.6346412037</v>
      </c>
      <c r="AI296" s="11"/>
      <c r="AJ296" s="18">
        <v>46286.6346412037</v>
      </c>
      <c r="AK296" s="11">
        <v>18253.0</v>
      </c>
      <c r="AL296" s="21" t="s">
        <v>1423</v>
      </c>
      <c r="AM296" s="16"/>
      <c r="AN296" s="14" t="s">
        <v>39</v>
      </c>
      <c r="AO296" s="23" t="s">
        <v>2383</v>
      </c>
      <c r="AP296" s="16" t="s">
        <v>175</v>
      </c>
      <c r="AQ296" s="16">
        <v>440.0</v>
      </c>
      <c r="AR296" s="16"/>
      <c r="AS296" s="42" t="s">
        <v>2355</v>
      </c>
      <c r="AT296" s="11" t="s">
        <v>790</v>
      </c>
      <c r="AU296" s="11" t="s">
        <v>2377</v>
      </c>
      <c r="AV296" s="11">
        <v>2.4102394E8</v>
      </c>
      <c r="AW296" s="11" t="s">
        <v>79</v>
      </c>
      <c r="AX296" s="11">
        <v>5.6982283661E10</v>
      </c>
      <c r="AY296" s="11" t="s">
        <v>2380</v>
      </c>
      <c r="AZ296" s="24">
        <v>41212.0</v>
      </c>
      <c r="BA296" s="11" t="s">
        <v>2384</v>
      </c>
      <c r="BB296" s="11" t="s">
        <v>101</v>
      </c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</row>
    <row r="297" ht="19.5" customHeight="1">
      <c r="A297" s="10" t="b">
        <v>0</v>
      </c>
      <c r="B297" s="11"/>
      <c r="C297" s="13" t="s">
        <v>60</v>
      </c>
      <c r="D297" s="14" t="s">
        <v>60</v>
      </c>
      <c r="E297" s="11"/>
      <c r="F297" s="15" t="s">
        <v>4</v>
      </c>
      <c r="G297" s="16">
        <v>339.0</v>
      </c>
      <c r="H297" s="16"/>
      <c r="I297" s="16">
        <v>47062.0</v>
      </c>
      <c r="J297" s="11" t="s">
        <v>61</v>
      </c>
      <c r="K297" s="11" t="s">
        <v>62</v>
      </c>
      <c r="L297" s="18">
        <v>46286.537523148145</v>
      </c>
      <c r="M297" s="18">
        <v>46286.537569444445</v>
      </c>
      <c r="N297" s="11" t="s">
        <v>63</v>
      </c>
      <c r="O297" s="11">
        <v>0.0</v>
      </c>
      <c r="P297" s="11" t="s">
        <v>2385</v>
      </c>
      <c r="Q297" s="11" t="s">
        <v>2386</v>
      </c>
      <c r="R297" s="11"/>
      <c r="S297" s="11" t="s">
        <v>2387</v>
      </c>
      <c r="T297" s="11">
        <v>855.0</v>
      </c>
      <c r="U297" s="11" t="s">
        <v>1284</v>
      </c>
      <c r="V297" s="11" t="s">
        <v>68</v>
      </c>
      <c r="W297" s="11">
        <v>2930.0</v>
      </c>
      <c r="X297" s="11" t="s">
        <v>69</v>
      </c>
      <c r="Y297" s="11" t="s">
        <v>2388</v>
      </c>
      <c r="Z297" s="11">
        <v>3.329310498E9</v>
      </c>
      <c r="AA297" s="11" t="s">
        <v>71</v>
      </c>
      <c r="AB297" s="11"/>
      <c r="AC297" s="11"/>
      <c r="AD297" s="11"/>
      <c r="AE297" s="11" t="s">
        <v>2389</v>
      </c>
      <c r="AF297" s="11" t="s">
        <v>2390</v>
      </c>
      <c r="AG297" s="18">
        <v>46286.662523148145</v>
      </c>
      <c r="AH297" s="18">
        <v>46286.662569444445</v>
      </c>
      <c r="AI297" s="11"/>
      <c r="AJ297" s="11"/>
      <c r="AK297" s="11">
        <v>18253.0</v>
      </c>
      <c r="AL297" s="21" t="s">
        <v>1423</v>
      </c>
      <c r="AM297" s="16"/>
      <c r="AN297" s="14" t="s">
        <v>39</v>
      </c>
      <c r="AO297" s="23"/>
      <c r="AP297" s="16" t="s">
        <v>76</v>
      </c>
      <c r="AQ297" s="16">
        <v>4209.0</v>
      </c>
      <c r="AR297" s="16"/>
      <c r="AS297" s="10" t="s">
        <v>1890</v>
      </c>
      <c r="AT297" s="11" t="s">
        <v>876</v>
      </c>
      <c r="AU297" s="11" t="s">
        <v>2391</v>
      </c>
      <c r="AV297" s="11">
        <v>5.1049622E7</v>
      </c>
      <c r="AW297" s="11" t="s">
        <v>79</v>
      </c>
      <c r="AX297" s="11">
        <v>3.329310498E9</v>
      </c>
      <c r="AY297" s="11" t="s">
        <v>2392</v>
      </c>
      <c r="AZ297" s="24">
        <v>40751.0</v>
      </c>
      <c r="BA297" s="11" t="s">
        <v>436</v>
      </c>
      <c r="BB297" s="11" t="s">
        <v>81</v>
      </c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</row>
    <row r="298" ht="19.5" customHeight="1">
      <c r="A298" s="10" t="b">
        <v>0</v>
      </c>
      <c r="B298" s="11"/>
      <c r="C298" s="13" t="s">
        <v>59</v>
      </c>
      <c r="D298" s="14" t="s">
        <v>60</v>
      </c>
      <c r="E298" s="11"/>
      <c r="F298" s="15" t="s">
        <v>4</v>
      </c>
      <c r="G298" s="16">
        <v>340.0</v>
      </c>
      <c r="H298" s="16"/>
      <c r="I298" s="16">
        <v>47063.0</v>
      </c>
      <c r="J298" s="11" t="s">
        <v>61</v>
      </c>
      <c r="K298" s="11" t="s">
        <v>62</v>
      </c>
      <c r="L298" s="18">
        <v>46286.53847222222</v>
      </c>
      <c r="M298" s="18">
        <v>46286.538518518515</v>
      </c>
      <c r="N298" s="11" t="s">
        <v>63</v>
      </c>
      <c r="O298" s="11">
        <v>0.0</v>
      </c>
      <c r="P298" s="11" t="s">
        <v>1110</v>
      </c>
      <c r="Q298" s="11" t="s">
        <v>1111</v>
      </c>
      <c r="R298" s="11"/>
      <c r="S298" s="11" t="s">
        <v>1112</v>
      </c>
      <c r="T298" s="11" t="s">
        <v>1113</v>
      </c>
      <c r="U298" s="11" t="s">
        <v>362</v>
      </c>
      <c r="V298" s="11" t="s">
        <v>126</v>
      </c>
      <c r="W298" s="11">
        <v>1425.0</v>
      </c>
      <c r="X298" s="11" t="s">
        <v>69</v>
      </c>
      <c r="Y298" s="11" t="s">
        <v>1114</v>
      </c>
      <c r="Z298" s="11">
        <v>1.167930157E9</v>
      </c>
      <c r="AA298" s="11" t="s">
        <v>71</v>
      </c>
      <c r="AB298" s="11"/>
      <c r="AC298" s="11"/>
      <c r="AD298" s="18">
        <v>46286.538518518515</v>
      </c>
      <c r="AE298" s="11" t="s">
        <v>2393</v>
      </c>
      <c r="AF298" s="11" t="s">
        <v>2394</v>
      </c>
      <c r="AG298" s="18">
        <v>46286.66347222222</v>
      </c>
      <c r="AH298" s="18">
        <v>46286.663518518515</v>
      </c>
      <c r="AI298" s="11"/>
      <c r="AJ298" s="18">
        <v>46286.663518518515</v>
      </c>
      <c r="AK298" s="11">
        <v>18253.0</v>
      </c>
      <c r="AL298" s="21" t="s">
        <v>1423</v>
      </c>
      <c r="AM298" s="16"/>
      <c r="AN298" s="16"/>
      <c r="AO298" s="23" t="s">
        <v>2395</v>
      </c>
      <c r="AP298" s="16" t="s">
        <v>76</v>
      </c>
      <c r="AQ298" s="16">
        <v>3554.0</v>
      </c>
      <c r="AR298" s="16"/>
      <c r="AS298" s="11" t="s">
        <v>1068</v>
      </c>
      <c r="AT298" s="11" t="s">
        <v>660</v>
      </c>
      <c r="AU298" s="11" t="s">
        <v>1111</v>
      </c>
      <c r="AV298" s="11">
        <v>5.2697717E7</v>
      </c>
      <c r="AW298" s="11" t="s">
        <v>99</v>
      </c>
      <c r="AX298" s="11">
        <v>1.167930157E9</v>
      </c>
      <c r="AY298" s="11" t="s">
        <v>1114</v>
      </c>
      <c r="AZ298" s="24">
        <v>41142.0</v>
      </c>
      <c r="BA298" s="11" t="s">
        <v>144</v>
      </c>
      <c r="BB298" s="11" t="s">
        <v>1573</v>
      </c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</row>
    <row r="299" ht="19.5" customHeight="1">
      <c r="A299" s="10" t="b">
        <v>0</v>
      </c>
      <c r="B299" s="11"/>
      <c r="C299" s="13" t="s">
        <v>59</v>
      </c>
      <c r="D299" s="14" t="s">
        <v>60</v>
      </c>
      <c r="E299" s="11"/>
      <c r="F299" s="15" t="s">
        <v>4</v>
      </c>
      <c r="G299" s="16">
        <v>341.0</v>
      </c>
      <c r="H299" s="16"/>
      <c r="I299" s="16">
        <v>47064.0</v>
      </c>
      <c r="J299" s="11" t="s">
        <v>61</v>
      </c>
      <c r="K299" s="11" t="s">
        <v>62</v>
      </c>
      <c r="L299" s="18">
        <v>46286.538981481484</v>
      </c>
      <c r="M299" s="18">
        <v>46286.5390625</v>
      </c>
      <c r="N299" s="11" t="s">
        <v>63</v>
      </c>
      <c r="O299" s="11">
        <v>0.0</v>
      </c>
      <c r="P299" s="11" t="s">
        <v>2396</v>
      </c>
      <c r="Q299" s="11" t="s">
        <v>2397</v>
      </c>
      <c r="R299" s="11"/>
      <c r="S299" s="11" t="s">
        <v>2398</v>
      </c>
      <c r="T299" s="11" t="s">
        <v>2399</v>
      </c>
      <c r="U299" s="11" t="s">
        <v>2400</v>
      </c>
      <c r="V299" s="11" t="s">
        <v>68</v>
      </c>
      <c r="W299" s="11">
        <v>1636.0</v>
      </c>
      <c r="X299" s="11" t="s">
        <v>69</v>
      </c>
      <c r="Y299" s="11" t="s">
        <v>2401</v>
      </c>
      <c r="Z299" s="11">
        <v>1.157563322E9</v>
      </c>
      <c r="AA299" s="11" t="s">
        <v>71</v>
      </c>
      <c r="AB299" s="11"/>
      <c r="AC299" s="11"/>
      <c r="AD299" s="18">
        <v>46286.5390625</v>
      </c>
      <c r="AE299" s="11" t="s">
        <v>2402</v>
      </c>
      <c r="AF299" s="11" t="s">
        <v>2403</v>
      </c>
      <c r="AG299" s="18">
        <v>46286.663981481484</v>
      </c>
      <c r="AH299" s="18">
        <v>46286.6640625</v>
      </c>
      <c r="AI299" s="11"/>
      <c r="AJ299" s="18">
        <v>46286.6640625</v>
      </c>
      <c r="AK299" s="11">
        <v>18253.0</v>
      </c>
      <c r="AL299" s="21" t="s">
        <v>1423</v>
      </c>
      <c r="AM299" s="16"/>
      <c r="AN299" s="16"/>
      <c r="AO299" s="23"/>
      <c r="AP299" s="16" t="s">
        <v>76</v>
      </c>
      <c r="AQ299" s="16">
        <v>382.0</v>
      </c>
      <c r="AR299" s="16"/>
      <c r="AS299" s="11" t="s">
        <v>251</v>
      </c>
      <c r="AT299" s="11" t="s">
        <v>2404</v>
      </c>
      <c r="AU299" s="11" t="s">
        <v>2405</v>
      </c>
      <c r="AV299" s="11">
        <v>5.3761011E7</v>
      </c>
      <c r="AW299" s="11" t="s">
        <v>99</v>
      </c>
      <c r="AX299" s="11">
        <v>1.157563322E9</v>
      </c>
      <c r="AY299" s="11" t="s">
        <v>2401</v>
      </c>
      <c r="AZ299" s="24">
        <v>41664.0</v>
      </c>
      <c r="BA299" s="11" t="s">
        <v>252</v>
      </c>
      <c r="BB299" s="11" t="s">
        <v>81</v>
      </c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</row>
    <row r="300" ht="19.5" customHeight="1">
      <c r="A300" s="10" t="b">
        <v>0</v>
      </c>
      <c r="B300" s="11"/>
      <c r="C300" s="13" t="s">
        <v>59</v>
      </c>
      <c r="D300" s="14" t="s">
        <v>60</v>
      </c>
      <c r="E300" s="11"/>
      <c r="F300" s="15" t="s">
        <v>4</v>
      </c>
      <c r="G300" s="16">
        <v>344.0</v>
      </c>
      <c r="H300" s="16"/>
      <c r="I300" s="16">
        <v>47067.0</v>
      </c>
      <c r="J300" s="11" t="s">
        <v>61</v>
      </c>
      <c r="K300" s="11" t="s">
        <v>62</v>
      </c>
      <c r="L300" s="18">
        <v>46286.552939814814</v>
      </c>
      <c r="M300" s="18">
        <v>46286.55295138889</v>
      </c>
      <c r="N300" s="11" t="s">
        <v>63</v>
      </c>
      <c r="O300" s="11">
        <v>0.0</v>
      </c>
      <c r="P300" s="11" t="s">
        <v>2406</v>
      </c>
      <c r="Q300" s="11" t="s">
        <v>2407</v>
      </c>
      <c r="R300" s="11"/>
      <c r="S300" s="11" t="s">
        <v>2408</v>
      </c>
      <c r="T300" s="11"/>
      <c r="U300" s="11" t="s">
        <v>2409</v>
      </c>
      <c r="V300" s="11" t="s">
        <v>2410</v>
      </c>
      <c r="W300" s="11" t="s">
        <v>2411</v>
      </c>
      <c r="X300" s="11" t="s">
        <v>69</v>
      </c>
      <c r="Y300" s="11" t="s">
        <v>2412</v>
      </c>
      <c r="Z300" s="11">
        <v>3.51391801E9</v>
      </c>
      <c r="AA300" s="11" t="s">
        <v>645</v>
      </c>
      <c r="AB300" s="11"/>
      <c r="AC300" s="11"/>
      <c r="AD300" s="11"/>
      <c r="AE300" s="11" t="s">
        <v>2413</v>
      </c>
      <c r="AF300" s="11" t="s">
        <v>2414</v>
      </c>
      <c r="AG300" s="18">
        <v>46286.677939814814</v>
      </c>
      <c r="AH300" s="18">
        <v>46286.67795138889</v>
      </c>
      <c r="AI300" s="11"/>
      <c r="AJ300" s="11"/>
      <c r="AK300" s="11">
        <v>18253.0</v>
      </c>
      <c r="AL300" s="21" t="s">
        <v>1423</v>
      </c>
      <c r="AM300" s="16"/>
      <c r="AN300" s="14" t="s">
        <v>39</v>
      </c>
      <c r="AO300" s="23"/>
      <c r="AP300" s="16" t="s">
        <v>76</v>
      </c>
      <c r="AQ300" s="16">
        <v>4225.0</v>
      </c>
      <c r="AR300" s="16"/>
      <c r="AS300" s="11" t="s">
        <v>2415</v>
      </c>
      <c r="AT300" s="11" t="s">
        <v>1883</v>
      </c>
      <c r="AU300" s="11" t="s">
        <v>2416</v>
      </c>
      <c r="AV300" s="11">
        <v>5.2866577E7</v>
      </c>
      <c r="AW300" s="11" t="s">
        <v>79</v>
      </c>
      <c r="AX300" s="11">
        <v>3.51391801E9</v>
      </c>
      <c r="AY300" s="11" t="s">
        <v>2412</v>
      </c>
      <c r="AZ300" s="24">
        <v>41360.0</v>
      </c>
      <c r="BA300" s="11" t="s">
        <v>2417</v>
      </c>
      <c r="BB300" s="11" t="s">
        <v>101</v>
      </c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</row>
    <row r="301" ht="19.5" customHeight="1">
      <c r="A301" s="10" t="b">
        <v>0</v>
      </c>
      <c r="B301" s="11"/>
      <c r="C301" s="13" t="s">
        <v>59</v>
      </c>
      <c r="D301" s="14" t="s">
        <v>59</v>
      </c>
      <c r="E301" s="11"/>
      <c r="F301" s="15" t="s">
        <v>4</v>
      </c>
      <c r="G301" s="16">
        <v>350.0</v>
      </c>
      <c r="H301" s="16"/>
      <c r="I301" s="16">
        <v>47073.0</v>
      </c>
      <c r="J301" s="11" t="s">
        <v>61</v>
      </c>
      <c r="K301" s="11" t="s">
        <v>62</v>
      </c>
      <c r="L301" s="18">
        <v>46286.57399305556</v>
      </c>
      <c r="M301" s="18">
        <v>46286.57400462963</v>
      </c>
      <c r="N301" s="11" t="s">
        <v>63</v>
      </c>
      <c r="O301" s="11">
        <v>0.0</v>
      </c>
      <c r="P301" s="11" t="s">
        <v>1470</v>
      </c>
      <c r="Q301" s="11" t="s">
        <v>2377</v>
      </c>
      <c r="R301" s="11"/>
      <c r="S301" s="11" t="s">
        <v>2378</v>
      </c>
      <c r="T301" s="11"/>
      <c r="U301" s="11" t="s">
        <v>134</v>
      </c>
      <c r="V301" s="11" t="s">
        <v>185</v>
      </c>
      <c r="W301" s="11">
        <v>0.0</v>
      </c>
      <c r="X301" s="11" t="s">
        <v>169</v>
      </c>
      <c r="Y301" s="11" t="s">
        <v>2380</v>
      </c>
      <c r="Z301" s="11">
        <v>5.6982283661E10</v>
      </c>
      <c r="AA301" s="11" t="s">
        <v>2418</v>
      </c>
      <c r="AB301" s="11"/>
      <c r="AC301" s="11"/>
      <c r="AD301" s="11"/>
      <c r="AE301" s="11" t="s">
        <v>2419</v>
      </c>
      <c r="AF301" s="11" t="s">
        <v>2420</v>
      </c>
      <c r="AG301" s="18">
        <v>46286.69899305556</v>
      </c>
      <c r="AH301" s="18">
        <v>46286.69900462963</v>
      </c>
      <c r="AI301" s="11"/>
      <c r="AJ301" s="11"/>
      <c r="AK301" s="11">
        <v>18253.0</v>
      </c>
      <c r="AL301" s="21" t="s">
        <v>1423</v>
      </c>
      <c r="AM301" s="16" t="s">
        <v>1426</v>
      </c>
      <c r="AN301" s="14" t="s">
        <v>39</v>
      </c>
      <c r="AO301" s="23" t="s">
        <v>2421</v>
      </c>
      <c r="AP301" s="16" t="s">
        <v>175</v>
      </c>
      <c r="AQ301" s="16">
        <v>711.0</v>
      </c>
      <c r="AR301" s="16"/>
      <c r="AS301" s="11" t="s">
        <v>1151</v>
      </c>
      <c r="AT301" s="11" t="s">
        <v>2422</v>
      </c>
      <c r="AU301" s="11" t="s">
        <v>2377</v>
      </c>
      <c r="AV301" s="11">
        <v>2.5411023E8</v>
      </c>
      <c r="AW301" s="11" t="s">
        <v>79</v>
      </c>
      <c r="AX301" s="11">
        <v>5.6982283661E10</v>
      </c>
      <c r="AY301" s="11" t="s">
        <v>2380</v>
      </c>
      <c r="AZ301" s="24">
        <v>42503.0</v>
      </c>
      <c r="BA301" s="11" t="s">
        <v>2384</v>
      </c>
      <c r="BB301" s="11" t="s">
        <v>101</v>
      </c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</row>
    <row r="302" ht="19.5" customHeight="1">
      <c r="A302" s="10" t="b">
        <v>0</v>
      </c>
      <c r="B302" s="11"/>
      <c r="C302" s="13" t="s">
        <v>59</v>
      </c>
      <c r="D302" s="14" t="s">
        <v>60</v>
      </c>
      <c r="E302" s="11"/>
      <c r="F302" s="15" t="s">
        <v>4</v>
      </c>
      <c r="G302" s="16">
        <v>351.0</v>
      </c>
      <c r="H302" s="16"/>
      <c r="I302" s="16">
        <v>47074.0</v>
      </c>
      <c r="J302" s="11" t="s">
        <v>61</v>
      </c>
      <c r="K302" s="11" t="s">
        <v>62</v>
      </c>
      <c r="L302" s="18">
        <v>46286.574155092596</v>
      </c>
      <c r="M302" s="18">
        <v>46286.574212962965</v>
      </c>
      <c r="N302" s="11" t="s">
        <v>63</v>
      </c>
      <c r="O302" s="11">
        <v>0.0</v>
      </c>
      <c r="P302" s="11" t="s">
        <v>606</v>
      </c>
      <c r="Q302" s="11" t="s">
        <v>2423</v>
      </c>
      <c r="R302" s="11"/>
      <c r="S302" s="11" t="s">
        <v>2424</v>
      </c>
      <c r="T302" s="11"/>
      <c r="U302" s="11" t="s">
        <v>933</v>
      </c>
      <c r="V302" s="11" t="s">
        <v>101</v>
      </c>
      <c r="W302" s="11" t="s">
        <v>2425</v>
      </c>
      <c r="X302" s="11" t="s">
        <v>69</v>
      </c>
      <c r="Y302" s="11" t="s">
        <v>2426</v>
      </c>
      <c r="Z302" s="11">
        <v>5.493413824918E12</v>
      </c>
      <c r="AA302" s="11" t="s">
        <v>71</v>
      </c>
      <c r="AB302" s="11"/>
      <c r="AC302" s="11"/>
      <c r="AD302" s="11"/>
      <c r="AE302" s="11" t="s">
        <v>2427</v>
      </c>
      <c r="AF302" s="11" t="s">
        <v>2428</v>
      </c>
      <c r="AG302" s="18">
        <v>46286.699155092596</v>
      </c>
      <c r="AH302" s="18">
        <v>46286.699212962965</v>
      </c>
      <c r="AI302" s="11"/>
      <c r="AJ302" s="11"/>
      <c r="AK302" s="11">
        <v>18253.0</v>
      </c>
      <c r="AL302" s="21" t="s">
        <v>1423</v>
      </c>
      <c r="AM302" s="16"/>
      <c r="AN302" s="14" t="s">
        <v>39</v>
      </c>
      <c r="AO302" s="23"/>
      <c r="AP302" s="16" t="s">
        <v>76</v>
      </c>
      <c r="AQ302" s="16">
        <v>4264.0</v>
      </c>
      <c r="AR302" s="16"/>
      <c r="AS302" s="11" t="s">
        <v>810</v>
      </c>
      <c r="AT302" s="11" t="s">
        <v>2429</v>
      </c>
      <c r="AU302" s="11" t="s">
        <v>2430</v>
      </c>
      <c r="AV302" s="11">
        <v>5.2373551E7</v>
      </c>
      <c r="AW302" s="11" t="s">
        <v>79</v>
      </c>
      <c r="AX302" s="11">
        <v>5.493413824918E12</v>
      </c>
      <c r="AY302" s="11" t="s">
        <v>2426</v>
      </c>
      <c r="AZ302" s="24">
        <v>41007.0</v>
      </c>
      <c r="BA302" s="11" t="s">
        <v>100</v>
      </c>
      <c r="BB302" s="11" t="s">
        <v>81</v>
      </c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</row>
    <row r="303" ht="19.5" customHeight="1">
      <c r="A303" s="10" t="b">
        <v>0</v>
      </c>
      <c r="B303" s="11"/>
      <c r="C303" s="13" t="s">
        <v>60</v>
      </c>
      <c r="D303" s="14" t="s">
        <v>60</v>
      </c>
      <c r="E303" s="11"/>
      <c r="F303" s="15" t="s">
        <v>4</v>
      </c>
      <c r="G303" s="16">
        <v>352.0</v>
      </c>
      <c r="H303" s="16"/>
      <c r="I303" s="16">
        <v>47075.0</v>
      </c>
      <c r="J303" s="11" t="s">
        <v>61</v>
      </c>
      <c r="K303" s="11" t="s">
        <v>62</v>
      </c>
      <c r="L303" s="18">
        <v>46286.575057870374</v>
      </c>
      <c r="M303" s="18">
        <v>46286.57511574074</v>
      </c>
      <c r="N303" s="11" t="s">
        <v>63</v>
      </c>
      <c r="O303" s="11">
        <v>0.0</v>
      </c>
      <c r="P303" s="11" t="s">
        <v>1806</v>
      </c>
      <c r="Q303" s="11" t="s">
        <v>1079</v>
      </c>
      <c r="R303" s="11"/>
      <c r="S303" s="11" t="s">
        <v>2431</v>
      </c>
      <c r="T303" s="11"/>
      <c r="U303" s="11" t="s">
        <v>643</v>
      </c>
      <c r="V303" s="11" t="s">
        <v>101</v>
      </c>
      <c r="W303" s="11">
        <v>2000.0</v>
      </c>
      <c r="X303" s="11" t="s">
        <v>69</v>
      </c>
      <c r="Y303" s="11" t="s">
        <v>2432</v>
      </c>
      <c r="Z303" s="11">
        <v>3.413195438E9</v>
      </c>
      <c r="AA303" s="11" t="s">
        <v>71</v>
      </c>
      <c r="AB303" s="11"/>
      <c r="AC303" s="11"/>
      <c r="AD303" s="18">
        <v>46286.57511574074</v>
      </c>
      <c r="AE303" s="11" t="s">
        <v>2433</v>
      </c>
      <c r="AF303" s="11" t="s">
        <v>2434</v>
      </c>
      <c r="AG303" s="18">
        <v>46286.700057870374</v>
      </c>
      <c r="AH303" s="18">
        <v>46286.70011574074</v>
      </c>
      <c r="AI303" s="11"/>
      <c r="AJ303" s="18">
        <v>46286.70011574074</v>
      </c>
      <c r="AK303" s="11">
        <v>18253.0</v>
      </c>
      <c r="AL303" s="21" t="s">
        <v>1423</v>
      </c>
      <c r="AM303" s="16"/>
      <c r="AN303" s="14" t="s">
        <v>39</v>
      </c>
      <c r="AO303" s="23" t="s">
        <v>2435</v>
      </c>
      <c r="AP303" s="16" t="s">
        <v>76</v>
      </c>
      <c r="AQ303" s="16">
        <v>4159.0</v>
      </c>
      <c r="AR303" s="16"/>
      <c r="AS303" s="11" t="s">
        <v>648</v>
      </c>
      <c r="AT303" s="11" t="s">
        <v>2436</v>
      </c>
      <c r="AU303" s="11" t="s">
        <v>2437</v>
      </c>
      <c r="AV303" s="11">
        <v>5.3618936E7</v>
      </c>
      <c r="AW303" s="11" t="s">
        <v>79</v>
      </c>
      <c r="AX303" s="11">
        <v>3.413195438E9</v>
      </c>
      <c r="AY303" s="11" t="s">
        <v>2432</v>
      </c>
      <c r="AZ303" s="24">
        <v>41599.0</v>
      </c>
      <c r="BA303" s="11" t="s">
        <v>2438</v>
      </c>
      <c r="BB303" s="11" t="s">
        <v>101</v>
      </c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</row>
    <row r="304" ht="19.5" customHeight="1">
      <c r="A304" s="10" t="b">
        <v>0</v>
      </c>
      <c r="B304" s="11"/>
      <c r="C304" s="13" t="s">
        <v>59</v>
      </c>
      <c r="D304" s="14" t="s">
        <v>60</v>
      </c>
      <c r="E304" s="11"/>
      <c r="F304" s="15" t="s">
        <v>4</v>
      </c>
      <c r="G304" s="16">
        <v>354.0</v>
      </c>
      <c r="H304" s="16"/>
      <c r="I304" s="16">
        <v>47077.0</v>
      </c>
      <c r="J304" s="11" t="s">
        <v>61</v>
      </c>
      <c r="K304" s="11" t="s">
        <v>62</v>
      </c>
      <c r="L304" s="18">
        <v>46286.589849537035</v>
      </c>
      <c r="M304" s="18">
        <v>46286.589895833335</v>
      </c>
      <c r="N304" s="11" t="s">
        <v>63</v>
      </c>
      <c r="O304" s="11">
        <v>0.0</v>
      </c>
      <c r="P304" s="11" t="s">
        <v>2439</v>
      </c>
      <c r="Q304" s="11" t="s">
        <v>2440</v>
      </c>
      <c r="R304" s="11"/>
      <c r="S304" s="11" t="s">
        <v>2441</v>
      </c>
      <c r="T304" s="11">
        <v>7534.0</v>
      </c>
      <c r="U304" s="11" t="s">
        <v>2442</v>
      </c>
      <c r="V304" s="11" t="s">
        <v>68</v>
      </c>
      <c r="W304" s="11">
        <v>1986.0</v>
      </c>
      <c r="X304" s="11" t="s">
        <v>69</v>
      </c>
      <c r="Y304" s="11" t="s">
        <v>2443</v>
      </c>
      <c r="Z304" s="11">
        <v>5.42214188871E11</v>
      </c>
      <c r="AA304" s="11" t="s">
        <v>71</v>
      </c>
      <c r="AB304" s="11"/>
      <c r="AC304" s="11"/>
      <c r="AD304" s="18">
        <v>46286.589895833335</v>
      </c>
      <c r="AE304" s="11" t="s">
        <v>2444</v>
      </c>
      <c r="AF304" s="11" t="s">
        <v>2445</v>
      </c>
      <c r="AG304" s="18">
        <v>46286.714849537035</v>
      </c>
      <c r="AH304" s="18">
        <v>46286.714895833335</v>
      </c>
      <c r="AI304" s="11"/>
      <c r="AJ304" s="18">
        <v>46286.714895833335</v>
      </c>
      <c r="AK304" s="11">
        <v>18253.0</v>
      </c>
      <c r="AL304" s="21" t="s">
        <v>1423</v>
      </c>
      <c r="AM304" s="16"/>
      <c r="AN304" s="16"/>
      <c r="AO304" s="23" t="s">
        <v>2446</v>
      </c>
      <c r="AP304" s="16" t="s">
        <v>76</v>
      </c>
      <c r="AQ304" s="16">
        <v>3781.0</v>
      </c>
      <c r="AR304" s="16"/>
      <c r="AS304" s="11" t="s">
        <v>433</v>
      </c>
      <c r="AT304" s="11" t="s">
        <v>2447</v>
      </c>
      <c r="AU304" s="11" t="s">
        <v>2440</v>
      </c>
      <c r="AV304" s="11">
        <v>5.345604E7</v>
      </c>
      <c r="AW304" s="11" t="s">
        <v>99</v>
      </c>
      <c r="AX304" s="11">
        <v>2.21154188871E11</v>
      </c>
      <c r="AY304" s="11" t="s">
        <v>2443</v>
      </c>
      <c r="AZ304" s="24">
        <v>41535.0</v>
      </c>
      <c r="BA304" s="11" t="s">
        <v>1236</v>
      </c>
      <c r="BB304" s="11" t="s">
        <v>101</v>
      </c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</row>
    <row r="305" ht="19.5" customHeight="1">
      <c r="A305" s="10" t="b">
        <v>0</v>
      </c>
      <c r="B305" s="11"/>
      <c r="C305" s="13" t="s">
        <v>60</v>
      </c>
      <c r="D305" s="14" t="s">
        <v>60</v>
      </c>
      <c r="E305" s="11"/>
      <c r="F305" s="15" t="s">
        <v>4</v>
      </c>
      <c r="G305" s="16">
        <v>355.0</v>
      </c>
      <c r="H305" s="16"/>
      <c r="I305" s="16">
        <v>47078.0</v>
      </c>
      <c r="J305" s="11" t="s">
        <v>61</v>
      </c>
      <c r="K305" s="11" t="s">
        <v>62</v>
      </c>
      <c r="L305" s="18">
        <v>46286.59721064815</v>
      </c>
      <c r="M305" s="18">
        <v>46286.597291666665</v>
      </c>
      <c r="N305" s="11" t="s">
        <v>63</v>
      </c>
      <c r="O305" s="11">
        <v>0.0</v>
      </c>
      <c r="P305" s="11" t="s">
        <v>2448</v>
      </c>
      <c r="Q305" s="11" t="s">
        <v>2449</v>
      </c>
      <c r="R305" s="11"/>
      <c r="S305" s="11" t="s">
        <v>2450</v>
      </c>
      <c r="T305" s="11"/>
      <c r="U305" s="11" t="s">
        <v>125</v>
      </c>
      <c r="V305" s="11" t="s">
        <v>126</v>
      </c>
      <c r="W305" s="11">
        <v>1419.0</v>
      </c>
      <c r="X305" s="11" t="s">
        <v>69</v>
      </c>
      <c r="Y305" s="11" t="s">
        <v>2451</v>
      </c>
      <c r="Z305" s="11">
        <v>5.491149749379E12</v>
      </c>
      <c r="AA305" s="11" t="s">
        <v>71</v>
      </c>
      <c r="AB305" s="11"/>
      <c r="AC305" s="11"/>
      <c r="AD305" s="18">
        <v>46286.597291666665</v>
      </c>
      <c r="AE305" s="11" t="s">
        <v>2452</v>
      </c>
      <c r="AF305" s="11" t="s">
        <v>2453</v>
      </c>
      <c r="AG305" s="18">
        <v>46286.72221064815</v>
      </c>
      <c r="AH305" s="18">
        <v>46286.722291666665</v>
      </c>
      <c r="AI305" s="11"/>
      <c r="AJ305" s="18">
        <v>46286.722291666665</v>
      </c>
      <c r="AK305" s="11">
        <v>18253.0</v>
      </c>
      <c r="AL305" s="21" t="s">
        <v>1423</v>
      </c>
      <c r="AM305" s="16"/>
      <c r="AN305" s="14" t="s">
        <v>39</v>
      </c>
      <c r="AO305" s="23"/>
      <c r="AP305" s="16" t="s">
        <v>76</v>
      </c>
      <c r="AQ305" s="16">
        <v>4098.0</v>
      </c>
      <c r="AR305" s="16"/>
      <c r="AS305" s="11" t="s">
        <v>240</v>
      </c>
      <c r="AT305" s="11" t="s">
        <v>2454</v>
      </c>
      <c r="AU305" s="11" t="s">
        <v>2455</v>
      </c>
      <c r="AV305" s="11">
        <v>5.2958381E7</v>
      </c>
      <c r="AW305" s="11" t="s">
        <v>79</v>
      </c>
      <c r="AX305" s="11">
        <v>1.149749379E9</v>
      </c>
      <c r="AY305" s="11" t="s">
        <v>2451</v>
      </c>
      <c r="AZ305" s="24">
        <v>41310.0</v>
      </c>
      <c r="BA305" s="11" t="s">
        <v>100</v>
      </c>
      <c r="BB305" s="11" t="s">
        <v>101</v>
      </c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</row>
    <row r="306" ht="19.5" customHeight="1">
      <c r="A306" s="10" t="b">
        <v>0</v>
      </c>
      <c r="B306" s="11"/>
      <c r="C306" s="13" t="s">
        <v>60</v>
      </c>
      <c r="D306" s="14" t="s">
        <v>60</v>
      </c>
      <c r="E306" s="11"/>
      <c r="F306" s="15" t="s">
        <v>4</v>
      </c>
      <c r="G306" s="16">
        <v>358.0</v>
      </c>
      <c r="H306" s="16"/>
      <c r="I306" s="16">
        <v>47081.0</v>
      </c>
      <c r="J306" s="11" t="s">
        <v>402</v>
      </c>
      <c r="K306" s="11" t="s">
        <v>62</v>
      </c>
      <c r="L306" s="18">
        <v>46286.605162037034</v>
      </c>
      <c r="M306" s="18">
        <v>46286.605162037034</v>
      </c>
      <c r="N306" s="11" t="s">
        <v>63</v>
      </c>
      <c r="O306" s="11">
        <v>0.0</v>
      </c>
      <c r="P306" s="11" t="s">
        <v>120</v>
      </c>
      <c r="Q306" s="11" t="s">
        <v>879</v>
      </c>
      <c r="R306" s="11"/>
      <c r="S306" s="11" t="s">
        <v>880</v>
      </c>
      <c r="T306" s="11">
        <v>122.0</v>
      </c>
      <c r="U306" s="11" t="s">
        <v>134</v>
      </c>
      <c r="V306" s="11" t="s">
        <v>784</v>
      </c>
      <c r="W306" s="11"/>
      <c r="X306" s="11" t="s">
        <v>169</v>
      </c>
      <c r="Y306" s="11" t="s">
        <v>881</v>
      </c>
      <c r="Z306" s="11">
        <v>5.699865115E10</v>
      </c>
      <c r="AA306" s="11" t="s">
        <v>71</v>
      </c>
      <c r="AB306" s="11"/>
      <c r="AC306" s="11"/>
      <c r="AD306" s="11"/>
      <c r="AE306" s="11" t="s">
        <v>627</v>
      </c>
      <c r="AF306" s="11" t="s">
        <v>2456</v>
      </c>
      <c r="AG306" s="18">
        <v>46286.730162037034</v>
      </c>
      <c r="AH306" s="18">
        <v>46286.730162037034</v>
      </c>
      <c r="AI306" s="11"/>
      <c r="AJ306" s="11"/>
      <c r="AK306" s="11">
        <v>18253.0</v>
      </c>
      <c r="AL306" s="21" t="s">
        <v>1423</v>
      </c>
      <c r="AM306" s="16"/>
      <c r="AN306" s="16"/>
      <c r="AO306" s="23"/>
      <c r="AP306" s="16" t="s">
        <v>175</v>
      </c>
      <c r="AQ306" s="16">
        <v>607.0</v>
      </c>
      <c r="AR306" s="16"/>
      <c r="AS306" s="11" t="s">
        <v>176</v>
      </c>
      <c r="AT306" s="11" t="s">
        <v>2457</v>
      </c>
      <c r="AU306" s="11" t="s">
        <v>2458</v>
      </c>
      <c r="AV306" s="11">
        <v>2.40642751E8</v>
      </c>
      <c r="AW306" s="11" t="s">
        <v>99</v>
      </c>
      <c r="AX306" s="11">
        <v>5.699865115E10</v>
      </c>
      <c r="AY306" s="11" t="s">
        <v>881</v>
      </c>
      <c r="AZ306" s="24">
        <v>41165.0</v>
      </c>
      <c r="BA306" s="11" t="s">
        <v>2459</v>
      </c>
      <c r="BB306" s="11" t="s">
        <v>81</v>
      </c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</row>
    <row r="307" ht="19.5" customHeight="1">
      <c r="A307" s="10" t="b">
        <v>0</v>
      </c>
      <c r="B307" s="11"/>
      <c r="C307" s="13" t="s">
        <v>59</v>
      </c>
      <c r="D307" s="14" t="s">
        <v>60</v>
      </c>
      <c r="E307" s="11"/>
      <c r="F307" s="15" t="s">
        <v>4</v>
      </c>
      <c r="G307" s="16">
        <v>362.0</v>
      </c>
      <c r="H307" s="16"/>
      <c r="I307" s="16">
        <v>47085.0</v>
      </c>
      <c r="J307" s="11" t="s">
        <v>61</v>
      </c>
      <c r="K307" s="11" t="s">
        <v>62</v>
      </c>
      <c r="L307" s="18">
        <v>46286.61283564815</v>
      </c>
      <c r="M307" s="18">
        <v>46286.61289351852</v>
      </c>
      <c r="N307" s="11" t="s">
        <v>63</v>
      </c>
      <c r="O307" s="11">
        <v>0.0</v>
      </c>
      <c r="P307" s="11" t="s">
        <v>2186</v>
      </c>
      <c r="Q307" s="11" t="s">
        <v>2460</v>
      </c>
      <c r="R307" s="11"/>
      <c r="S307" s="11" t="s">
        <v>2461</v>
      </c>
      <c r="T307" s="11"/>
      <c r="U307" s="11" t="s">
        <v>276</v>
      </c>
      <c r="V307" s="11" t="s">
        <v>126</v>
      </c>
      <c r="W307" s="11">
        <v>1406.0</v>
      </c>
      <c r="X307" s="11" t="s">
        <v>69</v>
      </c>
      <c r="Y307" s="11" t="s">
        <v>2462</v>
      </c>
      <c r="Z307" s="11">
        <v>5.41154882765E11</v>
      </c>
      <c r="AA307" s="11" t="s">
        <v>71</v>
      </c>
      <c r="AB307" s="11"/>
      <c r="AC307" s="11"/>
      <c r="AD307" s="18">
        <v>46286.61289351852</v>
      </c>
      <c r="AE307" s="11" t="s">
        <v>2463</v>
      </c>
      <c r="AF307" s="11" t="s">
        <v>2464</v>
      </c>
      <c r="AG307" s="18">
        <v>46286.73783564815</v>
      </c>
      <c r="AH307" s="18">
        <v>46286.73789351852</v>
      </c>
      <c r="AI307" s="11"/>
      <c r="AJ307" s="18">
        <v>46286.73789351852</v>
      </c>
      <c r="AK307" s="11">
        <v>18253.0</v>
      </c>
      <c r="AL307" s="21" t="s">
        <v>1423</v>
      </c>
      <c r="AM307" s="16"/>
      <c r="AN307" s="16"/>
      <c r="AO307" s="23"/>
      <c r="AP307" s="16" t="s">
        <v>76</v>
      </c>
      <c r="AQ307" s="16">
        <v>4169.0</v>
      </c>
      <c r="AR307" s="16"/>
      <c r="AS307" s="11" t="s">
        <v>269</v>
      </c>
      <c r="AT307" s="11" t="s">
        <v>243</v>
      </c>
      <c r="AU307" s="11" t="s">
        <v>2460</v>
      </c>
      <c r="AV307" s="11">
        <v>5.3718162E7</v>
      </c>
      <c r="AW307" s="11" t="s">
        <v>99</v>
      </c>
      <c r="AX307" s="11">
        <v>1.154882765E9</v>
      </c>
      <c r="AY307" s="11" t="s">
        <v>2462</v>
      </c>
      <c r="AZ307" s="24">
        <v>41681.0</v>
      </c>
      <c r="BA307" s="11" t="s">
        <v>100</v>
      </c>
      <c r="BB307" s="11" t="s">
        <v>349</v>
      </c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</row>
    <row r="308" ht="19.5" customHeight="1">
      <c r="A308" s="10" t="b">
        <v>0</v>
      </c>
      <c r="B308" s="11"/>
      <c r="C308" s="13" t="s">
        <v>60</v>
      </c>
      <c r="D308" s="14" t="s">
        <v>60</v>
      </c>
      <c r="E308" s="11"/>
      <c r="F308" s="15" t="s">
        <v>4</v>
      </c>
      <c r="G308" s="16">
        <v>364.0</v>
      </c>
      <c r="H308" s="16"/>
      <c r="I308" s="16">
        <v>47087.0</v>
      </c>
      <c r="J308" s="11" t="s">
        <v>61</v>
      </c>
      <c r="K308" s="11" t="s">
        <v>62</v>
      </c>
      <c r="L308" s="18">
        <v>46286.615115740744</v>
      </c>
      <c r="M308" s="18">
        <v>46286.61518518518</v>
      </c>
      <c r="N308" s="11" t="s">
        <v>63</v>
      </c>
      <c r="O308" s="11">
        <v>0.0</v>
      </c>
      <c r="P308" s="11" t="s">
        <v>2328</v>
      </c>
      <c r="Q308" s="11" t="s">
        <v>2329</v>
      </c>
      <c r="R308" s="11"/>
      <c r="S308" s="11" t="s">
        <v>2330</v>
      </c>
      <c r="T308" s="11" t="s">
        <v>2331</v>
      </c>
      <c r="U308" s="11" t="s">
        <v>125</v>
      </c>
      <c r="V308" s="11" t="s">
        <v>126</v>
      </c>
      <c r="W308" s="11">
        <v>1426.0</v>
      </c>
      <c r="X308" s="11" t="s">
        <v>69</v>
      </c>
      <c r="Y308" s="11" t="s">
        <v>2332</v>
      </c>
      <c r="Z308" s="11">
        <v>1.140304773E9</v>
      </c>
      <c r="AA308" s="11" t="s">
        <v>71</v>
      </c>
      <c r="AB308" s="11"/>
      <c r="AC308" s="11"/>
      <c r="AD308" s="18">
        <v>46286.61518518518</v>
      </c>
      <c r="AE308" s="11" t="s">
        <v>2465</v>
      </c>
      <c r="AF308" s="11" t="s">
        <v>2466</v>
      </c>
      <c r="AG308" s="18">
        <v>46286.740115740744</v>
      </c>
      <c r="AH308" s="18">
        <v>46286.74018518518</v>
      </c>
      <c r="AI308" s="11"/>
      <c r="AJ308" s="18">
        <v>46286.74018518518</v>
      </c>
      <c r="AK308" s="11">
        <v>18253.0</v>
      </c>
      <c r="AL308" s="21" t="s">
        <v>1423</v>
      </c>
      <c r="AM308" s="16"/>
      <c r="AN308" s="14" t="s">
        <v>39</v>
      </c>
      <c r="AO308" s="23"/>
      <c r="AP308" s="16" t="s">
        <v>76</v>
      </c>
      <c r="AQ308" s="16">
        <v>4190.0</v>
      </c>
      <c r="AR308" s="16"/>
      <c r="AS308" s="11" t="s">
        <v>197</v>
      </c>
      <c r="AT308" s="11" t="s">
        <v>241</v>
      </c>
      <c r="AU308" s="11" t="s">
        <v>2334</v>
      </c>
      <c r="AV308" s="11">
        <v>5.3083955E7</v>
      </c>
      <c r="AW308" s="11" t="s">
        <v>79</v>
      </c>
      <c r="AX308" s="11">
        <v>1.140304773E9</v>
      </c>
      <c r="AY308" s="11" t="s">
        <v>2332</v>
      </c>
      <c r="AZ308" s="24">
        <v>42072.0</v>
      </c>
      <c r="BA308" s="11" t="s">
        <v>121</v>
      </c>
      <c r="BB308" s="11" t="s">
        <v>349</v>
      </c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</row>
    <row r="309" ht="19.5" customHeight="1">
      <c r="A309" s="10" t="b">
        <v>0</v>
      </c>
      <c r="B309" s="11"/>
      <c r="C309" s="13" t="s">
        <v>59</v>
      </c>
      <c r="D309" s="14" t="s">
        <v>60</v>
      </c>
      <c r="E309" s="11"/>
      <c r="F309" s="15" t="s">
        <v>4</v>
      </c>
      <c r="G309" s="16">
        <v>369.0</v>
      </c>
      <c r="H309" s="16"/>
      <c r="I309" s="16">
        <v>47092.0</v>
      </c>
      <c r="J309" s="11" t="s">
        <v>61</v>
      </c>
      <c r="K309" s="11" t="s">
        <v>62</v>
      </c>
      <c r="L309" s="18">
        <v>46286.621087962965</v>
      </c>
      <c r="M309" s="18">
        <v>46286.621145833335</v>
      </c>
      <c r="N309" s="11" t="s">
        <v>63</v>
      </c>
      <c r="O309" s="11">
        <v>0.0</v>
      </c>
      <c r="P309" s="11" t="s">
        <v>416</v>
      </c>
      <c r="Q309" s="11" t="s">
        <v>2467</v>
      </c>
      <c r="R309" s="11"/>
      <c r="S309" s="11" t="s">
        <v>849</v>
      </c>
      <c r="T309" s="11"/>
      <c r="U309" s="11" t="s">
        <v>850</v>
      </c>
      <c r="V309" s="11" t="s">
        <v>68</v>
      </c>
      <c r="W309" s="11">
        <v>1641.0</v>
      </c>
      <c r="X309" s="11" t="s">
        <v>69</v>
      </c>
      <c r="Y309" s="11" t="s">
        <v>851</v>
      </c>
      <c r="Z309" s="11">
        <v>1.130701747E9</v>
      </c>
      <c r="AA309" s="11" t="s">
        <v>71</v>
      </c>
      <c r="AB309" s="11"/>
      <c r="AC309" s="11"/>
      <c r="AD309" s="18">
        <v>46286.621145833335</v>
      </c>
      <c r="AE309" s="11" t="s">
        <v>2468</v>
      </c>
      <c r="AF309" s="11" t="s">
        <v>2469</v>
      </c>
      <c r="AG309" s="18">
        <v>46286.746087962965</v>
      </c>
      <c r="AH309" s="18">
        <v>46286.746145833335</v>
      </c>
      <c r="AI309" s="11"/>
      <c r="AJ309" s="18">
        <v>46286.746145833335</v>
      </c>
      <c r="AK309" s="11">
        <v>18253.0</v>
      </c>
      <c r="AL309" s="21" t="s">
        <v>1423</v>
      </c>
      <c r="AM309" s="16"/>
      <c r="AN309" s="16"/>
      <c r="AO309" s="23" t="s">
        <v>2470</v>
      </c>
      <c r="AP309" s="16" t="s">
        <v>76</v>
      </c>
      <c r="AQ309" s="16">
        <v>4219.0</v>
      </c>
      <c r="AR309" s="16"/>
      <c r="AS309" s="11" t="s">
        <v>269</v>
      </c>
      <c r="AT309" s="11" t="s">
        <v>2471</v>
      </c>
      <c r="AU309" s="11" t="s">
        <v>856</v>
      </c>
      <c r="AV309" s="11">
        <v>5.2979884E7</v>
      </c>
      <c r="AW309" s="11" t="s">
        <v>99</v>
      </c>
      <c r="AX309" s="11">
        <v>1.125113103E9</v>
      </c>
      <c r="AY309" s="11" t="s">
        <v>2472</v>
      </c>
      <c r="AZ309" s="24">
        <v>41364.0</v>
      </c>
      <c r="BA309" s="11" t="s">
        <v>831</v>
      </c>
      <c r="BB309" s="11" t="s">
        <v>81</v>
      </c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</row>
    <row r="310" ht="19.5" customHeight="1">
      <c r="A310" s="10" t="b">
        <v>0</v>
      </c>
      <c r="B310" s="11"/>
      <c r="C310" s="13" t="s">
        <v>60</v>
      </c>
      <c r="D310" s="14" t="s">
        <v>60</v>
      </c>
      <c r="E310" s="11"/>
      <c r="F310" s="15" t="s">
        <v>4</v>
      </c>
      <c r="G310" s="16">
        <v>372.0</v>
      </c>
      <c r="H310" s="16"/>
      <c r="I310" s="16">
        <v>47095.0</v>
      </c>
      <c r="J310" s="11" t="s">
        <v>61</v>
      </c>
      <c r="K310" s="11" t="s">
        <v>62</v>
      </c>
      <c r="L310" s="18">
        <v>46286.626388888886</v>
      </c>
      <c r="M310" s="18">
        <v>46286.62640046296</v>
      </c>
      <c r="N310" s="11" t="s">
        <v>63</v>
      </c>
      <c r="O310" s="11">
        <v>0.0</v>
      </c>
      <c r="P310" s="11" t="s">
        <v>2473</v>
      </c>
      <c r="Q310" s="11" t="s">
        <v>2474</v>
      </c>
      <c r="R310" s="11"/>
      <c r="S310" s="11" t="s">
        <v>2475</v>
      </c>
      <c r="T310" s="29">
        <v>0.041666666666666664</v>
      </c>
      <c r="U310" s="11" t="s">
        <v>2476</v>
      </c>
      <c r="V310" s="11" t="s">
        <v>68</v>
      </c>
      <c r="W310" s="11">
        <v>1010.0</v>
      </c>
      <c r="X310" s="11" t="s">
        <v>69</v>
      </c>
      <c r="Y310" s="11" t="s">
        <v>2477</v>
      </c>
      <c r="Z310" s="11">
        <v>5.41135123051E11</v>
      </c>
      <c r="AA310" s="11" t="s">
        <v>187</v>
      </c>
      <c r="AB310" s="11"/>
      <c r="AC310" s="11"/>
      <c r="AD310" s="11"/>
      <c r="AE310" s="11" t="s">
        <v>2478</v>
      </c>
      <c r="AF310" s="11" t="s">
        <v>2479</v>
      </c>
      <c r="AG310" s="18">
        <v>46286.751388888886</v>
      </c>
      <c r="AH310" s="18">
        <v>46286.75140046296</v>
      </c>
      <c r="AI310" s="11"/>
      <c r="AJ310" s="11"/>
      <c r="AK310" s="11">
        <v>18253.0</v>
      </c>
      <c r="AL310" s="21" t="s">
        <v>1423</v>
      </c>
      <c r="AM310" s="16"/>
      <c r="AN310" s="14" t="s">
        <v>39</v>
      </c>
      <c r="AO310" s="23" t="s">
        <v>2480</v>
      </c>
      <c r="AP310" s="16" t="s">
        <v>76</v>
      </c>
      <c r="AQ310" s="16">
        <v>3869.0</v>
      </c>
      <c r="AR310" s="16"/>
      <c r="AS310" s="11" t="s">
        <v>197</v>
      </c>
      <c r="AT310" s="11" t="s">
        <v>910</v>
      </c>
      <c r="AU310" s="11" t="s">
        <v>2481</v>
      </c>
      <c r="AV310" s="11">
        <v>5.2095733E7</v>
      </c>
      <c r="AW310" s="11" t="s">
        <v>79</v>
      </c>
      <c r="AX310" s="11">
        <v>1.133870231E9</v>
      </c>
      <c r="AY310" s="11" t="s">
        <v>2477</v>
      </c>
      <c r="AZ310" s="24">
        <v>40936.0</v>
      </c>
      <c r="BA310" s="11" t="s">
        <v>1876</v>
      </c>
      <c r="BB310" s="11" t="s">
        <v>101</v>
      </c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</row>
    <row r="311" ht="19.5" customHeight="1">
      <c r="A311" s="10" t="b">
        <v>0</v>
      </c>
      <c r="B311" s="11"/>
      <c r="C311" s="13" t="s">
        <v>59</v>
      </c>
      <c r="D311" s="14" t="s">
        <v>60</v>
      </c>
      <c r="E311" s="11"/>
      <c r="F311" s="15" t="s">
        <v>4</v>
      </c>
      <c r="G311" s="16">
        <v>380.0</v>
      </c>
      <c r="H311" s="16"/>
      <c r="I311" s="16">
        <v>47103.0</v>
      </c>
      <c r="J311" s="11" t="s">
        <v>61</v>
      </c>
      <c r="K311" s="11" t="s">
        <v>62</v>
      </c>
      <c r="L311" s="18">
        <v>46286.64592592593</v>
      </c>
      <c r="M311" s="18">
        <v>46286.6459375</v>
      </c>
      <c r="N311" s="11" t="s">
        <v>63</v>
      </c>
      <c r="O311" s="11">
        <v>0.0</v>
      </c>
      <c r="P311" s="11" t="s">
        <v>299</v>
      </c>
      <c r="Q311" s="11" t="s">
        <v>2482</v>
      </c>
      <c r="R311" s="11"/>
      <c r="S311" s="11" t="s">
        <v>2483</v>
      </c>
      <c r="T311" s="11"/>
      <c r="U311" s="11" t="s">
        <v>2484</v>
      </c>
      <c r="V311" s="11" t="s">
        <v>68</v>
      </c>
      <c r="W311" s="11">
        <v>1923.0</v>
      </c>
      <c r="X311" s="11" t="s">
        <v>69</v>
      </c>
      <c r="Y311" s="11" t="s">
        <v>2485</v>
      </c>
      <c r="Z311" s="11">
        <v>2.216186842E9</v>
      </c>
      <c r="AA311" s="11" t="s">
        <v>645</v>
      </c>
      <c r="AB311" s="11"/>
      <c r="AC311" s="11"/>
      <c r="AD311" s="11"/>
      <c r="AE311" s="11" t="s">
        <v>2486</v>
      </c>
      <c r="AF311" s="11" t="s">
        <v>2487</v>
      </c>
      <c r="AG311" s="18">
        <v>46286.77092592593</v>
      </c>
      <c r="AH311" s="18">
        <v>46286.7709375</v>
      </c>
      <c r="AI311" s="11"/>
      <c r="AJ311" s="11"/>
      <c r="AK311" s="11">
        <v>18253.0</v>
      </c>
      <c r="AL311" s="21" t="s">
        <v>1423</v>
      </c>
      <c r="AM311" s="16" t="s">
        <v>1426</v>
      </c>
      <c r="AN311" s="14" t="s">
        <v>39</v>
      </c>
      <c r="AO311" s="23"/>
      <c r="AP311" s="16" t="s">
        <v>76</v>
      </c>
      <c r="AQ311" s="16">
        <v>3930.0</v>
      </c>
      <c r="AR311" s="16"/>
      <c r="AS311" s="11" t="s">
        <v>433</v>
      </c>
      <c r="AT311" s="11" t="s">
        <v>2488</v>
      </c>
      <c r="AU311" s="11" t="s">
        <v>2482</v>
      </c>
      <c r="AV311" s="11">
        <v>5.465902E7</v>
      </c>
      <c r="AW311" s="11" t="s">
        <v>79</v>
      </c>
      <c r="AX311" s="11">
        <v>2.213074655E9</v>
      </c>
      <c r="AY311" s="11" t="s">
        <v>2489</v>
      </c>
      <c r="AZ311" s="24">
        <v>42023.0</v>
      </c>
      <c r="BA311" s="11" t="s">
        <v>2490</v>
      </c>
      <c r="BB311" s="11" t="s">
        <v>101</v>
      </c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</row>
    <row r="312" ht="19.5" customHeight="1">
      <c r="A312" s="10" t="b">
        <v>0</v>
      </c>
      <c r="B312" s="11"/>
      <c r="C312" s="13" t="s">
        <v>59</v>
      </c>
      <c r="D312" s="14" t="s">
        <v>60</v>
      </c>
      <c r="E312" s="11"/>
      <c r="F312" s="15" t="s">
        <v>4</v>
      </c>
      <c r="G312" s="16">
        <v>390.0</v>
      </c>
      <c r="H312" s="16"/>
      <c r="I312" s="16">
        <v>47114.0</v>
      </c>
      <c r="J312" s="11" t="s">
        <v>61</v>
      </c>
      <c r="K312" s="11" t="s">
        <v>62</v>
      </c>
      <c r="L312" s="18">
        <v>46286.67283564815</v>
      </c>
      <c r="M312" s="18">
        <v>46286.672847222224</v>
      </c>
      <c r="N312" s="11" t="s">
        <v>63</v>
      </c>
      <c r="O312" s="11">
        <v>0.0</v>
      </c>
      <c r="P312" s="11" t="s">
        <v>299</v>
      </c>
      <c r="Q312" s="11" t="s">
        <v>2482</v>
      </c>
      <c r="R312" s="11"/>
      <c r="S312" s="11" t="s">
        <v>2483</v>
      </c>
      <c r="T312" s="11"/>
      <c r="U312" s="11" t="s">
        <v>2484</v>
      </c>
      <c r="V312" s="11" t="s">
        <v>68</v>
      </c>
      <c r="W312" s="11">
        <v>1923.0</v>
      </c>
      <c r="X312" s="11" t="s">
        <v>69</v>
      </c>
      <c r="Y312" s="11" t="s">
        <v>2485</v>
      </c>
      <c r="Z312" s="11">
        <v>2.216186842E9</v>
      </c>
      <c r="AA312" s="11" t="s">
        <v>645</v>
      </c>
      <c r="AB312" s="11"/>
      <c r="AC312" s="11"/>
      <c r="AD312" s="11"/>
      <c r="AE312" s="11" t="s">
        <v>2491</v>
      </c>
      <c r="AF312" s="11" t="s">
        <v>2492</v>
      </c>
      <c r="AG312" s="18">
        <v>46286.79783564815</v>
      </c>
      <c r="AH312" s="18">
        <v>46286.797847222224</v>
      </c>
      <c r="AI312" s="11"/>
      <c r="AJ312" s="11"/>
      <c r="AK312" s="11">
        <v>18253.0</v>
      </c>
      <c r="AL312" s="21" t="s">
        <v>1423</v>
      </c>
      <c r="AM312" s="16" t="s">
        <v>1426</v>
      </c>
      <c r="AN312" s="14" t="s">
        <v>39</v>
      </c>
      <c r="AO312" s="23"/>
      <c r="AP312" s="16" t="s">
        <v>76</v>
      </c>
      <c r="AQ312" s="16">
        <v>3578.0</v>
      </c>
      <c r="AR312" s="16"/>
      <c r="AS312" s="11" t="s">
        <v>433</v>
      </c>
      <c r="AT312" s="11" t="s">
        <v>2493</v>
      </c>
      <c r="AU312" s="11" t="s">
        <v>2494</v>
      </c>
      <c r="AV312" s="11">
        <v>5.5042878E7</v>
      </c>
      <c r="AW312" s="11" t="s">
        <v>79</v>
      </c>
      <c r="AX312" s="11">
        <v>2.214119383E9</v>
      </c>
      <c r="AY312" s="11" t="s">
        <v>2495</v>
      </c>
      <c r="AZ312" s="24">
        <v>42263.0</v>
      </c>
      <c r="BA312" s="11" t="s">
        <v>436</v>
      </c>
      <c r="BB312" s="11" t="s">
        <v>101</v>
      </c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</row>
    <row r="313" ht="19.5" customHeight="1">
      <c r="A313" s="10" t="b">
        <v>0</v>
      </c>
      <c r="B313" s="11"/>
      <c r="C313" s="13" t="s">
        <v>60</v>
      </c>
      <c r="D313" s="14" t="s">
        <v>60</v>
      </c>
      <c r="E313" s="11"/>
      <c r="F313" s="15" t="s">
        <v>4</v>
      </c>
      <c r="G313" s="16">
        <v>391.0</v>
      </c>
      <c r="H313" s="16"/>
      <c r="I313" s="16">
        <v>47115.0</v>
      </c>
      <c r="J313" s="11" t="s">
        <v>61</v>
      </c>
      <c r="K313" s="11" t="s">
        <v>62</v>
      </c>
      <c r="L313" s="18">
        <v>46286.6765625</v>
      </c>
      <c r="M313" s="18">
        <v>46286.6766087963</v>
      </c>
      <c r="N313" s="11" t="s">
        <v>63</v>
      </c>
      <c r="O313" s="11">
        <v>0.0</v>
      </c>
      <c r="P313" s="11" t="s">
        <v>2496</v>
      </c>
      <c r="Q313" s="11" t="s">
        <v>2497</v>
      </c>
      <c r="R313" s="11"/>
      <c r="S313" s="11" t="s">
        <v>2498</v>
      </c>
      <c r="T313" s="11">
        <v>36.0</v>
      </c>
      <c r="U313" s="11" t="s">
        <v>2499</v>
      </c>
      <c r="V313" s="11" t="s">
        <v>784</v>
      </c>
      <c r="W313" s="11"/>
      <c r="X313" s="11" t="s">
        <v>169</v>
      </c>
      <c r="Y313" s="11" t="s">
        <v>2500</v>
      </c>
      <c r="Z313" s="11">
        <v>5.699436082E10</v>
      </c>
      <c r="AA313" s="11" t="s">
        <v>71</v>
      </c>
      <c r="AB313" s="11"/>
      <c r="AC313" s="11"/>
      <c r="AD313" s="11"/>
      <c r="AE313" s="11" t="s">
        <v>2501</v>
      </c>
      <c r="AF313" s="11" t="s">
        <v>2502</v>
      </c>
      <c r="AG313" s="18">
        <v>46286.8015625</v>
      </c>
      <c r="AH313" s="18">
        <v>46286.8016087963</v>
      </c>
      <c r="AI313" s="11"/>
      <c r="AJ313" s="11"/>
      <c r="AK313" s="11">
        <v>18253.0</v>
      </c>
      <c r="AL313" s="21" t="s">
        <v>1423</v>
      </c>
      <c r="AM313" s="16"/>
      <c r="AN313" s="16"/>
      <c r="AO313" s="23" t="s">
        <v>2503</v>
      </c>
      <c r="AP313" s="16" t="s">
        <v>175</v>
      </c>
      <c r="AQ313" s="16">
        <v>314.0</v>
      </c>
      <c r="AR313" s="16"/>
      <c r="AS313" s="11" t="s">
        <v>191</v>
      </c>
      <c r="AT313" s="11" t="s">
        <v>1614</v>
      </c>
      <c r="AU313" s="11" t="s">
        <v>2504</v>
      </c>
      <c r="AV313" s="11">
        <v>2.40492105E8</v>
      </c>
      <c r="AW313" s="11" t="s">
        <v>99</v>
      </c>
      <c r="AX313" s="11">
        <v>5.699436082E10</v>
      </c>
      <c r="AY313" s="11" t="s">
        <v>2500</v>
      </c>
      <c r="AZ313" s="24">
        <v>41149.0</v>
      </c>
      <c r="BA313" s="11" t="s">
        <v>2505</v>
      </c>
      <c r="BB313" s="11" t="s">
        <v>349</v>
      </c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</row>
    <row r="314" ht="19.5" customHeight="1">
      <c r="A314" s="10" t="b">
        <v>0</v>
      </c>
      <c r="B314" s="11"/>
      <c r="C314" s="13" t="s">
        <v>60</v>
      </c>
      <c r="D314" s="14" t="s">
        <v>60</v>
      </c>
      <c r="E314" s="11"/>
      <c r="F314" s="15" t="s">
        <v>4</v>
      </c>
      <c r="G314" s="16">
        <v>395.0</v>
      </c>
      <c r="H314" s="16"/>
      <c r="I314" s="16">
        <v>47119.0</v>
      </c>
      <c r="J314" s="11" t="s">
        <v>61</v>
      </c>
      <c r="K314" s="11" t="s">
        <v>62</v>
      </c>
      <c r="L314" s="18">
        <v>46286.694710648146</v>
      </c>
      <c r="M314" s="18">
        <v>46286.694710648146</v>
      </c>
      <c r="N314" s="11" t="s">
        <v>63</v>
      </c>
      <c r="O314" s="11">
        <v>0.0</v>
      </c>
      <c r="P314" s="11" t="s">
        <v>1460</v>
      </c>
      <c r="Q314" s="11" t="s">
        <v>2031</v>
      </c>
      <c r="R314" s="11"/>
      <c r="S314" s="11" t="s">
        <v>2506</v>
      </c>
      <c r="T314" s="11" t="s">
        <v>2507</v>
      </c>
      <c r="U314" s="11" t="s">
        <v>2400</v>
      </c>
      <c r="V314" s="11" t="s">
        <v>68</v>
      </c>
      <c r="W314" s="11">
        <v>1636.0</v>
      </c>
      <c r="X314" s="11" t="s">
        <v>69</v>
      </c>
      <c r="Y314" s="11" t="s">
        <v>2508</v>
      </c>
      <c r="Z314" s="11">
        <v>1.15874042E8</v>
      </c>
      <c r="AA314" s="11" t="s">
        <v>645</v>
      </c>
      <c r="AB314" s="11"/>
      <c r="AC314" s="11"/>
      <c r="AD314" s="11"/>
      <c r="AE314" s="11" t="s">
        <v>2509</v>
      </c>
      <c r="AF314" s="11" t="s">
        <v>2510</v>
      </c>
      <c r="AG314" s="18">
        <v>46286.819710648146</v>
      </c>
      <c r="AH314" s="18">
        <v>46286.819710648146</v>
      </c>
      <c r="AI314" s="11"/>
      <c r="AJ314" s="11"/>
      <c r="AK314" s="11">
        <v>18253.0</v>
      </c>
      <c r="AL314" s="21" t="s">
        <v>1423</v>
      </c>
      <c r="AM314" s="16"/>
      <c r="AN314" s="14" t="s">
        <v>39</v>
      </c>
      <c r="AO314" s="23"/>
      <c r="AP314" s="16" t="s">
        <v>76</v>
      </c>
      <c r="AQ314" s="16">
        <v>4296.0</v>
      </c>
      <c r="AR314" s="16"/>
      <c r="AS314" s="10" t="s">
        <v>668</v>
      </c>
      <c r="AT314" s="11" t="s">
        <v>2252</v>
      </c>
      <c r="AU314" s="11" t="s">
        <v>2031</v>
      </c>
      <c r="AV314" s="11">
        <v>5.3472085E7</v>
      </c>
      <c r="AW314" s="11" t="s">
        <v>79</v>
      </c>
      <c r="AX314" s="11">
        <v>1.158744042E9</v>
      </c>
      <c r="AY314" s="11" t="s">
        <v>2508</v>
      </c>
      <c r="AZ314" s="24">
        <v>41551.0</v>
      </c>
      <c r="BA314" s="11" t="s">
        <v>144</v>
      </c>
      <c r="BB314" s="11" t="s">
        <v>101</v>
      </c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</row>
    <row r="315" ht="19.5" customHeight="1">
      <c r="A315" s="10" t="b">
        <v>0</v>
      </c>
      <c r="B315" s="11"/>
      <c r="C315" s="13" t="s">
        <v>60</v>
      </c>
      <c r="D315" s="14" t="s">
        <v>60</v>
      </c>
      <c r="E315" s="11"/>
      <c r="F315" s="15" t="s">
        <v>4</v>
      </c>
      <c r="G315" s="16">
        <v>396.0</v>
      </c>
      <c r="H315" s="16"/>
      <c r="I315" s="16">
        <v>47120.0</v>
      </c>
      <c r="J315" s="11" t="s">
        <v>61</v>
      </c>
      <c r="K315" s="11" t="s">
        <v>62</v>
      </c>
      <c r="L315" s="18">
        <v>46286.69547453704</v>
      </c>
      <c r="M315" s="18">
        <v>46286.695555555554</v>
      </c>
      <c r="N315" s="11" t="s">
        <v>63</v>
      </c>
      <c r="O315" s="11">
        <v>0.0</v>
      </c>
      <c r="P315" s="11" t="s">
        <v>2511</v>
      </c>
      <c r="Q315" s="11" t="s">
        <v>2512</v>
      </c>
      <c r="R315" s="11"/>
      <c r="S315" s="11" t="s">
        <v>2513</v>
      </c>
      <c r="T315" s="11">
        <v>625.0</v>
      </c>
      <c r="U315" s="11" t="s">
        <v>1567</v>
      </c>
      <c r="V315" s="11" t="s">
        <v>68</v>
      </c>
      <c r="W315" s="11">
        <v>1425.0</v>
      </c>
      <c r="X315" s="11" t="s">
        <v>69</v>
      </c>
      <c r="Y315" s="11" t="s">
        <v>2514</v>
      </c>
      <c r="Z315" s="11">
        <v>5.41144447565E11</v>
      </c>
      <c r="AA315" s="11" t="s">
        <v>71</v>
      </c>
      <c r="AB315" s="11"/>
      <c r="AC315" s="11"/>
      <c r="AD315" s="18">
        <v>46286.695555555554</v>
      </c>
      <c r="AE315" s="11" t="s">
        <v>2515</v>
      </c>
      <c r="AF315" s="11" t="s">
        <v>2516</v>
      </c>
      <c r="AG315" s="18">
        <v>46286.82047453704</v>
      </c>
      <c r="AH315" s="18">
        <v>46286.820555555554</v>
      </c>
      <c r="AI315" s="11"/>
      <c r="AJ315" s="18">
        <v>46286.820555555554</v>
      </c>
      <c r="AK315" s="11">
        <v>18253.0</v>
      </c>
      <c r="AL315" s="21" t="s">
        <v>1423</v>
      </c>
      <c r="AM315" s="16" t="s">
        <v>1426</v>
      </c>
      <c r="AN315" s="16"/>
      <c r="AO315" s="23">
        <v>4276.0</v>
      </c>
      <c r="AP315" s="16" t="s">
        <v>76</v>
      </c>
      <c r="AQ315" s="16">
        <v>4276.0</v>
      </c>
      <c r="AR315" s="16"/>
      <c r="AS315" s="11" t="s">
        <v>197</v>
      </c>
      <c r="AT315" s="11" t="s">
        <v>1848</v>
      </c>
      <c r="AU315" s="11" t="s">
        <v>2517</v>
      </c>
      <c r="AV315" s="11">
        <v>5.489259E7</v>
      </c>
      <c r="AW315" s="11" t="s">
        <v>99</v>
      </c>
      <c r="AX315" s="11">
        <v>1.144447565E9</v>
      </c>
      <c r="AY315" s="11" t="s">
        <v>2518</v>
      </c>
      <c r="AZ315" s="24">
        <v>42157.0</v>
      </c>
      <c r="BA315" s="11" t="s">
        <v>121</v>
      </c>
      <c r="BB315" s="11" t="s">
        <v>101</v>
      </c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</row>
    <row r="316" ht="19.5" customHeight="1">
      <c r="A316" s="10" t="b">
        <v>0</v>
      </c>
      <c r="B316" s="11"/>
      <c r="C316" s="13" t="s">
        <v>60</v>
      </c>
      <c r="D316" s="14" t="s">
        <v>60</v>
      </c>
      <c r="E316" s="11"/>
      <c r="F316" s="15" t="s">
        <v>4</v>
      </c>
      <c r="G316" s="16">
        <v>401.0</v>
      </c>
      <c r="H316" s="16"/>
      <c r="I316" s="16">
        <v>47125.0</v>
      </c>
      <c r="J316" s="11" t="s">
        <v>61</v>
      </c>
      <c r="K316" s="11" t="s">
        <v>62</v>
      </c>
      <c r="L316" s="18">
        <v>46286.7271875</v>
      </c>
      <c r="M316" s="18">
        <v>46286.72723379629</v>
      </c>
      <c r="N316" s="11" t="s">
        <v>63</v>
      </c>
      <c r="O316" s="11">
        <v>0.0</v>
      </c>
      <c r="P316" s="11" t="s">
        <v>2519</v>
      </c>
      <c r="Q316" s="11" t="s">
        <v>2520</v>
      </c>
      <c r="R316" s="11"/>
      <c r="S316" s="11" t="s">
        <v>2521</v>
      </c>
      <c r="T316" s="11" t="s">
        <v>2522</v>
      </c>
      <c r="U316" s="11" t="s">
        <v>2400</v>
      </c>
      <c r="V316" s="11" t="s">
        <v>68</v>
      </c>
      <c r="W316" s="11">
        <v>1636.0</v>
      </c>
      <c r="X316" s="11" t="s">
        <v>69</v>
      </c>
      <c r="Y316" s="11" t="s">
        <v>2523</v>
      </c>
      <c r="Z316" s="11">
        <v>9.1161879557E10</v>
      </c>
      <c r="AA316" s="11" t="s">
        <v>71</v>
      </c>
      <c r="AB316" s="11"/>
      <c r="AC316" s="11"/>
      <c r="AD316" s="11"/>
      <c r="AE316" s="11" t="s">
        <v>2524</v>
      </c>
      <c r="AF316" s="11" t="s">
        <v>2525</v>
      </c>
      <c r="AG316" s="18">
        <v>46286.8521875</v>
      </c>
      <c r="AH316" s="18">
        <v>46286.85223379629</v>
      </c>
      <c r="AI316" s="11"/>
      <c r="AJ316" s="11"/>
      <c r="AK316" s="11">
        <v>18253.0</v>
      </c>
      <c r="AL316" s="21" t="s">
        <v>1423</v>
      </c>
      <c r="AM316" s="16"/>
      <c r="AN316" s="14" t="s">
        <v>39</v>
      </c>
      <c r="AO316" s="23" t="s">
        <v>734</v>
      </c>
      <c r="AP316" s="16" t="s">
        <v>76</v>
      </c>
      <c r="AQ316" s="16">
        <v>4011.0</v>
      </c>
      <c r="AR316" s="16"/>
      <c r="AS316" s="11" t="s">
        <v>1068</v>
      </c>
      <c r="AT316" s="11" t="s">
        <v>2473</v>
      </c>
      <c r="AU316" s="11" t="s">
        <v>2526</v>
      </c>
      <c r="AV316" s="11">
        <v>5.2768606E7</v>
      </c>
      <c r="AW316" s="11" t="s">
        <v>79</v>
      </c>
      <c r="AX316" s="11">
        <v>9.1161879557E10</v>
      </c>
      <c r="AY316" s="11" t="s">
        <v>2523</v>
      </c>
      <c r="AZ316" s="24">
        <v>41178.0</v>
      </c>
      <c r="BA316" s="11" t="s">
        <v>144</v>
      </c>
      <c r="BB316" s="11" t="s">
        <v>101</v>
      </c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</row>
    <row r="317" ht="19.5" customHeight="1">
      <c r="A317" s="10" t="b">
        <v>0</v>
      </c>
      <c r="B317" s="11"/>
      <c r="C317" s="13" t="s">
        <v>59</v>
      </c>
      <c r="D317" s="14" t="s">
        <v>60</v>
      </c>
      <c r="E317" s="11"/>
      <c r="F317" s="15" t="s">
        <v>4</v>
      </c>
      <c r="G317" s="16">
        <v>405.0</v>
      </c>
      <c r="H317" s="16"/>
      <c r="I317" s="16">
        <v>47129.0</v>
      </c>
      <c r="J317" s="11" t="s">
        <v>61</v>
      </c>
      <c r="K317" s="11" t="s">
        <v>62</v>
      </c>
      <c r="L317" s="18">
        <v>46286.73615740741</v>
      </c>
      <c r="M317" s="18">
        <v>46286.7362037037</v>
      </c>
      <c r="N317" s="11" t="s">
        <v>63</v>
      </c>
      <c r="O317" s="11">
        <v>0.0</v>
      </c>
      <c r="P317" s="11" t="s">
        <v>929</v>
      </c>
      <c r="Q317" s="11" t="s">
        <v>930</v>
      </c>
      <c r="R317" s="11"/>
      <c r="S317" s="11" t="s">
        <v>931</v>
      </c>
      <c r="T317" s="11" t="s">
        <v>932</v>
      </c>
      <c r="U317" s="11" t="s">
        <v>933</v>
      </c>
      <c r="V317" s="11" t="s">
        <v>101</v>
      </c>
      <c r="W317" s="11">
        <v>2000.0</v>
      </c>
      <c r="X317" s="11" t="s">
        <v>69</v>
      </c>
      <c r="Y317" s="11" t="s">
        <v>934</v>
      </c>
      <c r="Z317" s="11">
        <v>5.43415602671E11</v>
      </c>
      <c r="AA317" s="11" t="s">
        <v>71</v>
      </c>
      <c r="AB317" s="11"/>
      <c r="AC317" s="11"/>
      <c r="AD317" s="11"/>
      <c r="AE317" s="11" t="s">
        <v>2527</v>
      </c>
      <c r="AF317" s="11" t="s">
        <v>2528</v>
      </c>
      <c r="AG317" s="18">
        <v>46286.86115740741</v>
      </c>
      <c r="AH317" s="18">
        <v>46286.8612037037</v>
      </c>
      <c r="AI317" s="11"/>
      <c r="AJ317" s="11"/>
      <c r="AK317" s="11">
        <v>18253.0</v>
      </c>
      <c r="AL317" s="21" t="s">
        <v>1423</v>
      </c>
      <c r="AM317" s="16"/>
      <c r="AN317" s="14" t="s">
        <v>39</v>
      </c>
      <c r="AO317" s="23"/>
      <c r="AP317" s="16" t="s">
        <v>76</v>
      </c>
      <c r="AQ317" s="16">
        <v>3849.0</v>
      </c>
      <c r="AR317" s="16"/>
      <c r="AS317" s="11" t="s">
        <v>648</v>
      </c>
      <c r="AT317" s="11" t="s">
        <v>2529</v>
      </c>
      <c r="AU317" s="11" t="s">
        <v>937</v>
      </c>
      <c r="AV317" s="11">
        <v>5.2636932E7</v>
      </c>
      <c r="AW317" s="11" t="s">
        <v>79</v>
      </c>
      <c r="AX317" s="11">
        <v>3.415602671E9</v>
      </c>
      <c r="AY317" s="11" t="s">
        <v>934</v>
      </c>
      <c r="AZ317" s="24">
        <v>41120.0</v>
      </c>
      <c r="BA317" s="11" t="s">
        <v>938</v>
      </c>
      <c r="BB317" s="11" t="s">
        <v>81</v>
      </c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</row>
    <row r="318" ht="19.5" customHeight="1">
      <c r="A318" s="10" t="b">
        <v>0</v>
      </c>
      <c r="B318" s="11"/>
      <c r="C318" s="13" t="s">
        <v>60</v>
      </c>
      <c r="D318" s="14" t="s">
        <v>60</v>
      </c>
      <c r="E318" s="11"/>
      <c r="F318" s="15" t="s">
        <v>4</v>
      </c>
      <c r="G318" s="16">
        <v>410.0</v>
      </c>
      <c r="H318" s="16"/>
      <c r="I318" s="16">
        <v>47136.0</v>
      </c>
      <c r="J318" s="11" t="s">
        <v>61</v>
      </c>
      <c r="K318" s="11" t="s">
        <v>62</v>
      </c>
      <c r="L318" s="18">
        <v>46286.75224537037</v>
      </c>
      <c r="M318" s="18">
        <v>46286.75230324074</v>
      </c>
      <c r="N318" s="11" t="s">
        <v>63</v>
      </c>
      <c r="O318" s="11">
        <v>0.0</v>
      </c>
      <c r="P318" s="11" t="s">
        <v>950</v>
      </c>
      <c r="Q318" s="11" t="s">
        <v>951</v>
      </c>
      <c r="R318" s="11"/>
      <c r="S318" s="11" t="s">
        <v>952</v>
      </c>
      <c r="T318" s="11"/>
      <c r="U318" s="11" t="s">
        <v>234</v>
      </c>
      <c r="V318" s="11" t="s">
        <v>68</v>
      </c>
      <c r="W318" s="11">
        <v>1644.0</v>
      </c>
      <c r="X318" s="11" t="s">
        <v>69</v>
      </c>
      <c r="Y318" s="11" t="s">
        <v>953</v>
      </c>
      <c r="Z318" s="11">
        <v>4.4017277E7</v>
      </c>
      <c r="AA318" s="11" t="s">
        <v>71</v>
      </c>
      <c r="AB318" s="11"/>
      <c r="AC318" s="11"/>
      <c r="AD318" s="11"/>
      <c r="AE318" s="11" t="s">
        <v>2530</v>
      </c>
      <c r="AF318" s="11" t="s">
        <v>2531</v>
      </c>
      <c r="AG318" s="18">
        <v>46286.87724537037</v>
      </c>
      <c r="AH318" s="18">
        <v>46286.87730324074</v>
      </c>
      <c r="AI318" s="11"/>
      <c r="AJ318" s="11"/>
      <c r="AK318" s="11">
        <v>18253.0</v>
      </c>
      <c r="AL318" s="21" t="s">
        <v>1423</v>
      </c>
      <c r="AM318" s="16"/>
      <c r="AN318" s="16"/>
      <c r="AO318" s="23"/>
      <c r="AP318" s="16" t="s">
        <v>76</v>
      </c>
      <c r="AQ318" s="16">
        <v>4115.0</v>
      </c>
      <c r="AR318" s="16"/>
      <c r="AS318" s="11" t="s">
        <v>251</v>
      </c>
      <c r="AT318" s="11" t="s">
        <v>2532</v>
      </c>
      <c r="AU318" s="11" t="s">
        <v>951</v>
      </c>
      <c r="AV318" s="11">
        <v>5.3240593E7</v>
      </c>
      <c r="AW318" s="11" t="s">
        <v>99</v>
      </c>
      <c r="AX318" s="11">
        <v>4.4017277E7</v>
      </c>
      <c r="AY318" s="11" t="s">
        <v>953</v>
      </c>
      <c r="AZ318" s="24">
        <v>41417.0</v>
      </c>
      <c r="BA318" s="11" t="s">
        <v>956</v>
      </c>
      <c r="BB318" s="11" t="s">
        <v>81</v>
      </c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</row>
    <row r="319" ht="19.5" customHeight="1">
      <c r="A319" s="10" t="b">
        <v>0</v>
      </c>
      <c r="B319" s="11"/>
      <c r="C319" s="13" t="s">
        <v>60</v>
      </c>
      <c r="D319" s="14" t="s">
        <v>60</v>
      </c>
      <c r="E319" s="11"/>
      <c r="F319" s="15" t="s">
        <v>4</v>
      </c>
      <c r="G319" s="16">
        <v>412.0</v>
      </c>
      <c r="H319" s="16"/>
      <c r="I319" s="16">
        <v>47138.0</v>
      </c>
      <c r="J319" s="11" t="s">
        <v>61</v>
      </c>
      <c r="K319" s="11" t="s">
        <v>62</v>
      </c>
      <c r="L319" s="18">
        <v>46286.75570601852</v>
      </c>
      <c r="M319" s="18">
        <v>46286.75576388889</v>
      </c>
      <c r="N319" s="11" t="s">
        <v>63</v>
      </c>
      <c r="O319" s="11">
        <v>0.0</v>
      </c>
      <c r="P319" s="11" t="s">
        <v>111</v>
      </c>
      <c r="Q319" s="11" t="s">
        <v>2533</v>
      </c>
      <c r="R319" s="11"/>
      <c r="S319" s="11" t="s">
        <v>2534</v>
      </c>
      <c r="T319" s="11" t="s">
        <v>2535</v>
      </c>
      <c r="U319" s="11" t="s">
        <v>2536</v>
      </c>
      <c r="V319" s="11" t="s">
        <v>2537</v>
      </c>
      <c r="W319" s="11">
        <v>5411.0</v>
      </c>
      <c r="X319" s="11" t="s">
        <v>69</v>
      </c>
      <c r="Y319" s="11" t="s">
        <v>2538</v>
      </c>
      <c r="Z319" s="11">
        <v>9.2644114077E10</v>
      </c>
      <c r="AA319" s="11" t="s">
        <v>71</v>
      </c>
      <c r="AB319" s="11"/>
      <c r="AC319" s="11"/>
      <c r="AD319" s="18">
        <v>46286.75576388889</v>
      </c>
      <c r="AE319" s="11" t="s">
        <v>2539</v>
      </c>
      <c r="AF319" s="11" t="s">
        <v>2540</v>
      </c>
      <c r="AG319" s="18">
        <v>46286.88070601852</v>
      </c>
      <c r="AH319" s="18">
        <v>46286.88076388889</v>
      </c>
      <c r="AI319" s="11"/>
      <c r="AJ319" s="18">
        <v>46286.88076388889</v>
      </c>
      <c r="AK319" s="11">
        <v>18253.0</v>
      </c>
      <c r="AL319" s="21" t="s">
        <v>1423</v>
      </c>
      <c r="AM319" s="16"/>
      <c r="AN319" s="16"/>
      <c r="AO319" s="23"/>
      <c r="AP319" s="16" t="s">
        <v>76</v>
      </c>
      <c r="AQ319" s="16">
        <v>4158.0</v>
      </c>
      <c r="AR319" s="16"/>
      <c r="AS319" s="11" t="s">
        <v>2541</v>
      </c>
      <c r="AT319" s="11" t="s">
        <v>2542</v>
      </c>
      <c r="AU319" s="11" t="s">
        <v>2543</v>
      </c>
      <c r="AV319" s="11">
        <v>5.2069861E7</v>
      </c>
      <c r="AW319" s="11" t="s">
        <v>99</v>
      </c>
      <c r="AX319" s="11">
        <v>9.2644114077E10</v>
      </c>
      <c r="AY319" s="11" t="s">
        <v>2538</v>
      </c>
      <c r="AZ319" s="24">
        <v>40909.0</v>
      </c>
      <c r="BA319" s="11" t="s">
        <v>567</v>
      </c>
      <c r="BB319" s="11" t="s">
        <v>101</v>
      </c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</row>
    <row r="320" ht="19.5" customHeight="1">
      <c r="A320" s="10" t="b">
        <v>0</v>
      </c>
      <c r="B320" s="11"/>
      <c r="C320" s="13" t="s">
        <v>60</v>
      </c>
      <c r="D320" s="14" t="s">
        <v>60</v>
      </c>
      <c r="E320" s="11"/>
      <c r="F320" s="15" t="s">
        <v>4</v>
      </c>
      <c r="G320" s="16">
        <v>417.0</v>
      </c>
      <c r="H320" s="16"/>
      <c r="I320" s="16">
        <v>47143.0</v>
      </c>
      <c r="J320" s="11" t="s">
        <v>402</v>
      </c>
      <c r="K320" s="11" t="s">
        <v>62</v>
      </c>
      <c r="L320" s="18">
        <v>46286.76806712963</v>
      </c>
      <c r="M320" s="18">
        <v>46286.76806712963</v>
      </c>
      <c r="N320" s="11" t="s">
        <v>63</v>
      </c>
      <c r="O320" s="11">
        <v>0.0</v>
      </c>
      <c r="P320" s="11" t="s">
        <v>2544</v>
      </c>
      <c r="Q320" s="11" t="s">
        <v>2545</v>
      </c>
      <c r="R320" s="11"/>
      <c r="S320" s="11" t="s">
        <v>2546</v>
      </c>
      <c r="T320" s="11">
        <v>3.0</v>
      </c>
      <c r="U320" s="11" t="s">
        <v>643</v>
      </c>
      <c r="V320" s="11" t="s">
        <v>101</v>
      </c>
      <c r="W320" s="11">
        <v>2000.0</v>
      </c>
      <c r="X320" s="11" t="s">
        <v>69</v>
      </c>
      <c r="Y320" s="11" t="s">
        <v>2547</v>
      </c>
      <c r="Z320" s="11">
        <v>5.493413575947E12</v>
      </c>
      <c r="AA320" s="11" t="s">
        <v>645</v>
      </c>
      <c r="AB320" s="11"/>
      <c r="AC320" s="11"/>
      <c r="AD320" s="11"/>
      <c r="AE320" s="11" t="s">
        <v>2548</v>
      </c>
      <c r="AF320" s="11" t="s">
        <v>2549</v>
      </c>
      <c r="AG320" s="18">
        <v>46286.89306712963</v>
      </c>
      <c r="AH320" s="18">
        <v>46286.89306712963</v>
      </c>
      <c r="AI320" s="11"/>
      <c r="AJ320" s="11"/>
      <c r="AK320" s="11">
        <v>18253.0</v>
      </c>
      <c r="AL320" s="21" t="s">
        <v>1423</v>
      </c>
      <c r="AM320" s="16"/>
      <c r="AN320" s="16"/>
      <c r="AO320" s="23" t="s">
        <v>2550</v>
      </c>
      <c r="AP320" s="16" t="s">
        <v>76</v>
      </c>
      <c r="AQ320" s="16">
        <v>3808.0</v>
      </c>
      <c r="AR320" s="16"/>
      <c r="AS320" s="11" t="s">
        <v>648</v>
      </c>
      <c r="AT320" s="11" t="s">
        <v>2544</v>
      </c>
      <c r="AU320" s="11" t="s">
        <v>2545</v>
      </c>
      <c r="AV320" s="11">
        <v>5.1324832E7</v>
      </c>
      <c r="AW320" s="11" t="s">
        <v>99</v>
      </c>
      <c r="AX320" s="11">
        <v>5.493413575947E12</v>
      </c>
      <c r="AY320" s="11" t="s">
        <v>2547</v>
      </c>
      <c r="AZ320" s="24">
        <v>40737.0</v>
      </c>
      <c r="BA320" s="11" t="s">
        <v>2551</v>
      </c>
      <c r="BB320" s="11" t="s">
        <v>81</v>
      </c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</row>
    <row r="321" ht="19.5" customHeight="1">
      <c r="A321" s="10" t="b">
        <v>0</v>
      </c>
      <c r="B321" s="11"/>
      <c r="C321" s="13" t="s">
        <v>60</v>
      </c>
      <c r="D321" s="14" t="s">
        <v>60</v>
      </c>
      <c r="E321" s="11"/>
      <c r="F321" s="15" t="s">
        <v>4</v>
      </c>
      <c r="G321" s="16">
        <v>418.0</v>
      </c>
      <c r="H321" s="16"/>
      <c r="I321" s="16">
        <v>47144.0</v>
      </c>
      <c r="J321" s="11" t="s">
        <v>61</v>
      </c>
      <c r="K321" s="11" t="s">
        <v>62</v>
      </c>
      <c r="L321" s="18">
        <v>46286.77085648148</v>
      </c>
      <c r="M321" s="18">
        <v>46286.7709375</v>
      </c>
      <c r="N321" s="11" t="s">
        <v>63</v>
      </c>
      <c r="O321" s="11">
        <v>0.0</v>
      </c>
      <c r="P321" s="11" t="s">
        <v>2552</v>
      </c>
      <c r="Q321" s="11" t="s">
        <v>2553</v>
      </c>
      <c r="R321" s="11"/>
      <c r="S321" s="11" t="s">
        <v>2554</v>
      </c>
      <c r="T321" s="11"/>
      <c r="U321" s="11" t="s">
        <v>2400</v>
      </c>
      <c r="V321" s="11" t="s">
        <v>68</v>
      </c>
      <c r="W321" s="11">
        <v>1636.0</v>
      </c>
      <c r="X321" s="11" t="s">
        <v>69</v>
      </c>
      <c r="Y321" s="11" t="s">
        <v>2555</v>
      </c>
      <c r="Z321" s="11">
        <v>5.41153114252E11</v>
      </c>
      <c r="AA321" s="11" t="s">
        <v>71</v>
      </c>
      <c r="AB321" s="11"/>
      <c r="AC321" s="11"/>
      <c r="AD321" s="18">
        <v>46286.7709375</v>
      </c>
      <c r="AE321" s="11" t="s">
        <v>2556</v>
      </c>
      <c r="AF321" s="11" t="s">
        <v>2557</v>
      </c>
      <c r="AG321" s="18">
        <v>46286.89585648148</v>
      </c>
      <c r="AH321" s="18">
        <v>46286.8959375</v>
      </c>
      <c r="AI321" s="11"/>
      <c r="AJ321" s="18">
        <v>46286.8959375</v>
      </c>
      <c r="AK321" s="11">
        <v>18253.0</v>
      </c>
      <c r="AL321" s="21" t="s">
        <v>1423</v>
      </c>
      <c r="AM321" s="16"/>
      <c r="AN321" s="16"/>
      <c r="AO321" s="23">
        <v>4082.0</v>
      </c>
      <c r="AP321" s="16" t="s">
        <v>76</v>
      </c>
      <c r="AQ321" s="16">
        <v>4082.0</v>
      </c>
      <c r="AR321" s="16"/>
      <c r="AS321" s="11" t="s">
        <v>251</v>
      </c>
      <c r="AT321" s="11" t="s">
        <v>134</v>
      </c>
      <c r="AU321" s="11" t="s">
        <v>2558</v>
      </c>
      <c r="AV321" s="11">
        <v>5.3972454E7</v>
      </c>
      <c r="AW321" s="11" t="s">
        <v>99</v>
      </c>
      <c r="AX321" s="11">
        <v>1.153114252E9</v>
      </c>
      <c r="AY321" s="11" t="s">
        <v>2555</v>
      </c>
      <c r="AZ321" s="24">
        <v>41839.0</v>
      </c>
      <c r="BA321" s="11" t="s">
        <v>100</v>
      </c>
      <c r="BB321" s="11" t="s">
        <v>81</v>
      </c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</row>
    <row r="322" ht="19.5" customHeight="1">
      <c r="A322" s="10" t="b">
        <v>0</v>
      </c>
      <c r="B322" s="11"/>
      <c r="C322" s="13" t="s">
        <v>60</v>
      </c>
      <c r="D322" s="14" t="s">
        <v>60</v>
      </c>
      <c r="E322" s="11"/>
      <c r="F322" s="15" t="s">
        <v>4</v>
      </c>
      <c r="G322" s="16">
        <v>420.0</v>
      </c>
      <c r="H322" s="16"/>
      <c r="I322" s="16">
        <v>47146.0</v>
      </c>
      <c r="J322" s="11" t="s">
        <v>61</v>
      </c>
      <c r="K322" s="11" t="s">
        <v>62</v>
      </c>
      <c r="L322" s="18">
        <v>46286.77386574074</v>
      </c>
      <c r="M322" s="18">
        <v>46286.77392361111</v>
      </c>
      <c r="N322" s="11" t="s">
        <v>63</v>
      </c>
      <c r="O322" s="11">
        <v>0.0</v>
      </c>
      <c r="P322" s="11" t="s">
        <v>2552</v>
      </c>
      <c r="Q322" s="11" t="s">
        <v>2553</v>
      </c>
      <c r="R322" s="11"/>
      <c r="S322" s="11" t="s">
        <v>2554</v>
      </c>
      <c r="T322" s="11"/>
      <c r="U322" s="11" t="s">
        <v>2400</v>
      </c>
      <c r="V322" s="11" t="s">
        <v>68</v>
      </c>
      <c r="W322" s="11">
        <v>1636.0</v>
      </c>
      <c r="X322" s="11" t="s">
        <v>69</v>
      </c>
      <c r="Y322" s="11" t="s">
        <v>2555</v>
      </c>
      <c r="Z322" s="11">
        <v>5.41153114252E11</v>
      </c>
      <c r="AA322" s="11" t="s">
        <v>71</v>
      </c>
      <c r="AB322" s="11"/>
      <c r="AC322" s="11"/>
      <c r="AD322" s="18">
        <v>46286.77392361111</v>
      </c>
      <c r="AE322" s="11" t="s">
        <v>2559</v>
      </c>
      <c r="AF322" s="11" t="s">
        <v>2560</v>
      </c>
      <c r="AG322" s="18">
        <v>46286.89886574074</v>
      </c>
      <c r="AH322" s="18">
        <v>46286.89892361111</v>
      </c>
      <c r="AI322" s="11"/>
      <c r="AJ322" s="18">
        <v>46286.89892361111</v>
      </c>
      <c r="AK322" s="11">
        <v>18253.0</v>
      </c>
      <c r="AL322" s="21" t="s">
        <v>1423</v>
      </c>
      <c r="AM322" s="16"/>
      <c r="AN322" s="16"/>
      <c r="AO322" s="23">
        <v>4013.0</v>
      </c>
      <c r="AP322" s="16" t="s">
        <v>76</v>
      </c>
      <c r="AQ322" s="16">
        <v>4013.0</v>
      </c>
      <c r="AR322" s="16"/>
      <c r="AS322" s="11" t="s">
        <v>251</v>
      </c>
      <c r="AT322" s="11" t="s">
        <v>536</v>
      </c>
      <c r="AU322" s="11" t="s">
        <v>2558</v>
      </c>
      <c r="AV322" s="11">
        <v>5.2168E7</v>
      </c>
      <c r="AW322" s="11" t="s">
        <v>99</v>
      </c>
      <c r="AX322" s="11">
        <v>1.153114252E9</v>
      </c>
      <c r="AY322" s="11" t="s">
        <v>2555</v>
      </c>
      <c r="AZ322" s="24">
        <v>40986.0</v>
      </c>
      <c r="BA322" s="11" t="s">
        <v>100</v>
      </c>
      <c r="BB322" s="11" t="s">
        <v>81</v>
      </c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</row>
    <row r="323" ht="19.5" customHeight="1">
      <c r="A323" s="10" t="b">
        <v>0</v>
      </c>
      <c r="B323" s="11"/>
      <c r="C323" s="13" t="s">
        <v>60</v>
      </c>
      <c r="D323" s="14" t="s">
        <v>60</v>
      </c>
      <c r="E323" s="11"/>
      <c r="F323" s="15" t="s">
        <v>4</v>
      </c>
      <c r="G323" s="16">
        <v>425.0</v>
      </c>
      <c r="H323" s="16"/>
      <c r="I323" s="16">
        <v>47151.0</v>
      </c>
      <c r="J323" s="11" t="s">
        <v>61</v>
      </c>
      <c r="K323" s="11" t="s">
        <v>62</v>
      </c>
      <c r="L323" s="18">
        <v>46286.79188657407</v>
      </c>
      <c r="M323" s="18">
        <v>46286.79194444444</v>
      </c>
      <c r="N323" s="11" t="s">
        <v>63</v>
      </c>
      <c r="O323" s="11">
        <v>0.0</v>
      </c>
      <c r="P323" s="11" t="s">
        <v>200</v>
      </c>
      <c r="Q323" s="11" t="s">
        <v>2561</v>
      </c>
      <c r="R323" s="11"/>
      <c r="S323" s="11" t="s">
        <v>2562</v>
      </c>
      <c r="T323" s="11"/>
      <c r="U323" s="11" t="s">
        <v>234</v>
      </c>
      <c r="V323" s="11" t="s">
        <v>68</v>
      </c>
      <c r="W323" s="11">
        <v>1644.0</v>
      </c>
      <c r="X323" s="11" t="s">
        <v>69</v>
      </c>
      <c r="Y323" s="11" t="s">
        <v>2563</v>
      </c>
      <c r="Z323" s="11">
        <v>1.164825593E9</v>
      </c>
      <c r="AA323" s="11" t="s">
        <v>71</v>
      </c>
      <c r="AB323" s="11"/>
      <c r="AC323" s="11"/>
      <c r="AD323" s="18">
        <v>46286.79194444444</v>
      </c>
      <c r="AE323" s="11" t="s">
        <v>2564</v>
      </c>
      <c r="AF323" s="11" t="s">
        <v>2565</v>
      </c>
      <c r="AG323" s="18">
        <v>46286.91688657407</v>
      </c>
      <c r="AH323" s="18">
        <v>46286.91694444444</v>
      </c>
      <c r="AI323" s="11"/>
      <c r="AJ323" s="18">
        <v>46286.91694444444</v>
      </c>
      <c r="AK323" s="11">
        <v>18253.0</v>
      </c>
      <c r="AL323" s="21" t="s">
        <v>1423</v>
      </c>
      <c r="AM323" s="16"/>
      <c r="AN323" s="16"/>
      <c r="AO323" s="23"/>
      <c r="AP323" s="16" t="s">
        <v>76</v>
      </c>
      <c r="AQ323" s="16">
        <v>4257.0</v>
      </c>
      <c r="AR323" s="16"/>
      <c r="AS323" s="11" t="s">
        <v>2566</v>
      </c>
      <c r="AT323" s="11" t="s">
        <v>2567</v>
      </c>
      <c r="AU323" s="11" t="s">
        <v>2561</v>
      </c>
      <c r="AV323" s="11">
        <v>5.106639E7</v>
      </c>
      <c r="AW323" s="11" t="s">
        <v>99</v>
      </c>
      <c r="AX323" s="11">
        <v>1.164825593E9</v>
      </c>
      <c r="AY323" s="11" t="s">
        <v>2563</v>
      </c>
      <c r="AZ323" s="24">
        <v>40625.0</v>
      </c>
      <c r="BA323" s="11" t="s">
        <v>2568</v>
      </c>
      <c r="BB323" s="11" t="s">
        <v>349</v>
      </c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</row>
    <row r="324" ht="19.5" customHeight="1">
      <c r="A324" s="10" t="b">
        <v>0</v>
      </c>
      <c r="B324" s="11"/>
      <c r="C324" s="13" t="s">
        <v>60</v>
      </c>
      <c r="D324" s="14" t="s">
        <v>60</v>
      </c>
      <c r="E324" s="11"/>
      <c r="F324" s="15" t="s">
        <v>4</v>
      </c>
      <c r="G324" s="16">
        <v>433.0</v>
      </c>
      <c r="H324" s="16"/>
      <c r="I324" s="16">
        <v>47159.0</v>
      </c>
      <c r="J324" s="11" t="s">
        <v>61</v>
      </c>
      <c r="K324" s="11" t="s">
        <v>62</v>
      </c>
      <c r="L324" s="18">
        <v>46286.8178587963</v>
      </c>
      <c r="M324" s="18">
        <v>46286.81810185185</v>
      </c>
      <c r="N324" s="11" t="s">
        <v>63</v>
      </c>
      <c r="O324" s="11">
        <v>0.0</v>
      </c>
      <c r="P324" s="11" t="s">
        <v>120</v>
      </c>
      <c r="Q324" s="11" t="s">
        <v>2569</v>
      </c>
      <c r="R324" s="11"/>
      <c r="S324" s="11" t="s">
        <v>2570</v>
      </c>
      <c r="T324" s="11"/>
      <c r="U324" s="11" t="s">
        <v>362</v>
      </c>
      <c r="V324" s="11" t="s">
        <v>126</v>
      </c>
      <c r="W324" s="11">
        <v>1010.0</v>
      </c>
      <c r="X324" s="11" t="s">
        <v>69</v>
      </c>
      <c r="Y324" s="11" t="s">
        <v>2571</v>
      </c>
      <c r="Z324" s="11">
        <v>1.141910792E9</v>
      </c>
      <c r="AA324" s="11" t="s">
        <v>71</v>
      </c>
      <c r="AB324" s="11"/>
      <c r="AC324" s="11"/>
      <c r="AD324" s="11"/>
      <c r="AE324" s="11" t="s">
        <v>2572</v>
      </c>
      <c r="AF324" s="11" t="s">
        <v>2573</v>
      </c>
      <c r="AG324" s="18">
        <v>46286.9428587963</v>
      </c>
      <c r="AH324" s="18">
        <v>46286.94310185185</v>
      </c>
      <c r="AI324" s="11"/>
      <c r="AJ324" s="11"/>
      <c r="AK324" s="11">
        <v>18253.0</v>
      </c>
      <c r="AL324" s="21" t="s">
        <v>1423</v>
      </c>
      <c r="AM324" s="16" t="s">
        <v>1426</v>
      </c>
      <c r="AN324" s="16"/>
      <c r="AO324" s="23"/>
      <c r="AP324" s="16" t="s">
        <v>76</v>
      </c>
      <c r="AQ324" s="16">
        <v>3860.0</v>
      </c>
      <c r="AR324" s="16"/>
      <c r="AS324" s="11" t="s">
        <v>197</v>
      </c>
      <c r="AT324" s="11" t="s">
        <v>1605</v>
      </c>
      <c r="AU324" s="11" t="s">
        <v>2569</v>
      </c>
      <c r="AV324" s="11">
        <v>5.5072196E7</v>
      </c>
      <c r="AW324" s="11" t="s">
        <v>99</v>
      </c>
      <c r="AX324" s="11">
        <v>1.141910792E9</v>
      </c>
      <c r="AY324" s="11" t="s">
        <v>2571</v>
      </c>
      <c r="AZ324" s="24">
        <v>42236.0</v>
      </c>
      <c r="BA324" s="11" t="s">
        <v>144</v>
      </c>
      <c r="BB324" s="11" t="s">
        <v>101</v>
      </c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</row>
    <row r="325" ht="19.5" customHeight="1">
      <c r="A325" s="10" t="b">
        <v>0</v>
      </c>
      <c r="B325" s="11"/>
      <c r="C325" s="13" t="s">
        <v>60</v>
      </c>
      <c r="D325" s="14" t="s">
        <v>60</v>
      </c>
      <c r="E325" s="11"/>
      <c r="F325" s="15" t="s">
        <v>4</v>
      </c>
      <c r="G325" s="16">
        <v>434.0</v>
      </c>
      <c r="H325" s="16"/>
      <c r="I325" s="16">
        <v>47160.0</v>
      </c>
      <c r="J325" s="11" t="s">
        <v>61</v>
      </c>
      <c r="K325" s="11" t="s">
        <v>62</v>
      </c>
      <c r="L325" s="18">
        <v>46286.82087962963</v>
      </c>
      <c r="M325" s="18">
        <v>46286.8209375</v>
      </c>
      <c r="N325" s="11" t="s">
        <v>63</v>
      </c>
      <c r="O325" s="11">
        <v>0.0</v>
      </c>
      <c r="P325" s="11" t="s">
        <v>253</v>
      </c>
      <c r="Q325" s="11" t="s">
        <v>2574</v>
      </c>
      <c r="R325" s="11"/>
      <c r="S325" s="11" t="s">
        <v>2575</v>
      </c>
      <c r="T325" s="11" t="s">
        <v>2576</v>
      </c>
      <c r="U325" s="11" t="s">
        <v>125</v>
      </c>
      <c r="V325" s="11" t="s">
        <v>68</v>
      </c>
      <c r="W325" s="11">
        <v>1431.0</v>
      </c>
      <c r="X325" s="11" t="s">
        <v>69</v>
      </c>
      <c r="Y325" s="11" t="s">
        <v>2577</v>
      </c>
      <c r="Z325" s="11">
        <v>1.166910296E9</v>
      </c>
      <c r="AA325" s="11" t="s">
        <v>71</v>
      </c>
      <c r="AB325" s="11"/>
      <c r="AC325" s="11"/>
      <c r="AD325" s="18">
        <v>46286.8209375</v>
      </c>
      <c r="AE325" s="11" t="s">
        <v>2578</v>
      </c>
      <c r="AF325" s="11" t="s">
        <v>2579</v>
      </c>
      <c r="AG325" s="18">
        <v>46286.94587962963</v>
      </c>
      <c r="AH325" s="18">
        <v>46286.9459375</v>
      </c>
      <c r="AI325" s="11"/>
      <c r="AJ325" s="18">
        <v>46286.9459375</v>
      </c>
      <c r="AK325" s="11">
        <v>18253.0</v>
      </c>
      <c r="AL325" s="21" t="s">
        <v>1423</v>
      </c>
      <c r="AM325" s="16"/>
      <c r="AN325" s="14" t="s">
        <v>39</v>
      </c>
      <c r="AO325" s="23"/>
      <c r="AP325" s="16" t="s">
        <v>76</v>
      </c>
      <c r="AQ325" s="16">
        <v>3887.0</v>
      </c>
      <c r="AR325" s="16"/>
      <c r="AS325" s="11" t="s">
        <v>197</v>
      </c>
      <c r="AT325" s="11" t="s">
        <v>2580</v>
      </c>
      <c r="AU325" s="11" t="s">
        <v>2574</v>
      </c>
      <c r="AV325" s="11">
        <v>5.4101756E7</v>
      </c>
      <c r="AW325" s="11" t="s">
        <v>79</v>
      </c>
      <c r="AX325" s="11">
        <v>1.166910296E9</v>
      </c>
      <c r="AY325" s="11" t="s">
        <v>2577</v>
      </c>
      <c r="AZ325" s="24">
        <v>41800.0</v>
      </c>
      <c r="BA325" s="11" t="s">
        <v>100</v>
      </c>
      <c r="BB325" s="11" t="s">
        <v>101</v>
      </c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</row>
    <row r="326" ht="19.5" customHeight="1">
      <c r="A326" s="10" t="b">
        <v>0</v>
      </c>
      <c r="B326" s="11"/>
      <c r="C326" s="13" t="s">
        <v>60</v>
      </c>
      <c r="D326" s="14" t="s">
        <v>60</v>
      </c>
      <c r="E326" s="11"/>
      <c r="F326" s="15" t="s">
        <v>4</v>
      </c>
      <c r="G326" s="16">
        <v>435.0</v>
      </c>
      <c r="H326" s="16"/>
      <c r="I326" s="16">
        <v>47161.0</v>
      </c>
      <c r="J326" s="11" t="s">
        <v>61</v>
      </c>
      <c r="K326" s="11" t="s">
        <v>62</v>
      </c>
      <c r="L326" s="18">
        <v>46286.82098379629</v>
      </c>
      <c r="M326" s="18">
        <v>46286.82099537037</v>
      </c>
      <c r="N326" s="11" t="s">
        <v>63</v>
      </c>
      <c r="O326" s="11">
        <v>0.0</v>
      </c>
      <c r="P326" s="11" t="s">
        <v>2581</v>
      </c>
      <c r="Q326" s="11" t="s">
        <v>2582</v>
      </c>
      <c r="R326" s="11"/>
      <c r="S326" s="11" t="s">
        <v>2583</v>
      </c>
      <c r="T326" s="11"/>
      <c r="U326" s="11" t="s">
        <v>158</v>
      </c>
      <c r="V326" s="11" t="s">
        <v>68</v>
      </c>
      <c r="W326" s="11">
        <v>1890.0</v>
      </c>
      <c r="X326" s="11" t="s">
        <v>69</v>
      </c>
      <c r="Y326" s="11" t="s">
        <v>2584</v>
      </c>
      <c r="Z326" s="11">
        <v>5.42215036037E11</v>
      </c>
      <c r="AA326" s="11" t="s">
        <v>645</v>
      </c>
      <c r="AB326" s="11"/>
      <c r="AC326" s="11"/>
      <c r="AD326" s="11"/>
      <c r="AE326" s="11" t="s">
        <v>2585</v>
      </c>
      <c r="AF326" s="11" t="s">
        <v>2586</v>
      </c>
      <c r="AG326" s="18">
        <v>46286.94598379629</v>
      </c>
      <c r="AH326" s="18">
        <v>46286.94599537037</v>
      </c>
      <c r="AI326" s="11"/>
      <c r="AJ326" s="11"/>
      <c r="AK326" s="11">
        <v>18253.0</v>
      </c>
      <c r="AL326" s="21" t="s">
        <v>1423</v>
      </c>
      <c r="AM326" s="16"/>
      <c r="AN326" s="16"/>
      <c r="AO326" s="23" t="s">
        <v>2587</v>
      </c>
      <c r="AP326" s="16" t="s">
        <v>76</v>
      </c>
      <c r="AQ326" s="16">
        <v>4202.0</v>
      </c>
      <c r="AR326" s="16"/>
      <c r="AS326" s="11" t="s">
        <v>240</v>
      </c>
      <c r="AT326" s="11" t="s">
        <v>1848</v>
      </c>
      <c r="AU326" s="11" t="s">
        <v>2588</v>
      </c>
      <c r="AV326" s="11">
        <v>5.3690319E7</v>
      </c>
      <c r="AW326" s="11" t="s">
        <v>99</v>
      </c>
      <c r="AX326" s="11">
        <v>2.215036037E9</v>
      </c>
      <c r="AY326" s="11" t="s">
        <v>2584</v>
      </c>
      <c r="AZ326" s="24">
        <v>41434.0</v>
      </c>
      <c r="BA326" s="11" t="s">
        <v>144</v>
      </c>
      <c r="BB326" s="11" t="s">
        <v>101</v>
      </c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</row>
    <row r="327" ht="19.5" customHeight="1">
      <c r="A327" s="10" t="b">
        <v>0</v>
      </c>
      <c r="B327" s="11"/>
      <c r="C327" s="13" t="s">
        <v>60</v>
      </c>
      <c r="D327" s="14" t="s">
        <v>60</v>
      </c>
      <c r="E327" s="11"/>
      <c r="F327" s="15" t="s">
        <v>4</v>
      </c>
      <c r="G327" s="16">
        <v>437.0</v>
      </c>
      <c r="H327" s="16"/>
      <c r="I327" s="16">
        <v>47163.0</v>
      </c>
      <c r="J327" s="11" t="s">
        <v>61</v>
      </c>
      <c r="K327" s="11" t="s">
        <v>62</v>
      </c>
      <c r="L327" s="18">
        <v>46286.82776620371</v>
      </c>
      <c r="M327" s="18">
        <v>46286.82784722222</v>
      </c>
      <c r="N327" s="11" t="s">
        <v>63</v>
      </c>
      <c r="O327" s="11">
        <v>0.0</v>
      </c>
      <c r="P327" s="11" t="s">
        <v>120</v>
      </c>
      <c r="Q327" s="11" t="s">
        <v>2589</v>
      </c>
      <c r="R327" s="11"/>
      <c r="S327" s="11" t="s">
        <v>2590</v>
      </c>
      <c r="T327" s="11">
        <v>308.0</v>
      </c>
      <c r="U327" s="11" t="s">
        <v>2591</v>
      </c>
      <c r="V327" s="11" t="s">
        <v>126</v>
      </c>
      <c r="W327" s="11">
        <v>1405.0</v>
      </c>
      <c r="X327" s="11" t="s">
        <v>69</v>
      </c>
      <c r="Y327" s="11" t="s">
        <v>2592</v>
      </c>
      <c r="Z327" s="11">
        <v>1.161607139E9</v>
      </c>
      <c r="AA327" s="11" t="s">
        <v>71</v>
      </c>
      <c r="AB327" s="11"/>
      <c r="AC327" s="11"/>
      <c r="AD327" s="18">
        <v>46286.82784722222</v>
      </c>
      <c r="AE327" s="11" t="s">
        <v>2593</v>
      </c>
      <c r="AF327" s="11" t="s">
        <v>2594</v>
      </c>
      <c r="AG327" s="18">
        <v>46286.95276620371</v>
      </c>
      <c r="AH327" s="18">
        <v>46286.95284722222</v>
      </c>
      <c r="AI327" s="11"/>
      <c r="AJ327" s="18">
        <v>46286.95284722222</v>
      </c>
      <c r="AK327" s="11">
        <v>18253.0</v>
      </c>
      <c r="AL327" s="21" t="s">
        <v>1423</v>
      </c>
      <c r="AM327" s="16"/>
      <c r="AN327" s="14" t="s">
        <v>39</v>
      </c>
      <c r="AO327" s="23"/>
      <c r="AP327" s="16" t="s">
        <v>76</v>
      </c>
      <c r="AQ327" s="16">
        <v>4214.0</v>
      </c>
      <c r="AR327" s="16"/>
      <c r="AS327" s="10" t="s">
        <v>2595</v>
      </c>
      <c r="AT327" s="11" t="s">
        <v>2493</v>
      </c>
      <c r="AU327" s="11" t="s">
        <v>2589</v>
      </c>
      <c r="AV327" s="11">
        <v>5.1267743E7</v>
      </c>
      <c r="AW327" s="11" t="s">
        <v>79</v>
      </c>
      <c r="AX327" s="11">
        <v>1.161607139E9</v>
      </c>
      <c r="AY327" s="11" t="s">
        <v>2592</v>
      </c>
      <c r="AZ327" s="24">
        <v>40723.0</v>
      </c>
      <c r="BA327" s="11" t="s">
        <v>100</v>
      </c>
      <c r="BB327" s="11" t="s">
        <v>81</v>
      </c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</row>
    <row r="328" ht="19.5" customHeight="1">
      <c r="A328" s="10" t="b">
        <v>0</v>
      </c>
      <c r="B328" s="11"/>
      <c r="C328" s="13" t="s">
        <v>60</v>
      </c>
      <c r="D328" s="14" t="s">
        <v>60</v>
      </c>
      <c r="E328" s="11"/>
      <c r="F328" s="15" t="s">
        <v>4</v>
      </c>
      <c r="G328" s="16">
        <v>439.0</v>
      </c>
      <c r="H328" s="16"/>
      <c r="I328" s="16">
        <v>47165.0</v>
      </c>
      <c r="J328" s="11" t="s">
        <v>61</v>
      </c>
      <c r="K328" s="11" t="s">
        <v>62</v>
      </c>
      <c r="L328" s="18">
        <v>46286.830416666664</v>
      </c>
      <c r="M328" s="18">
        <v>46286.830462962964</v>
      </c>
      <c r="N328" s="11" t="s">
        <v>63</v>
      </c>
      <c r="O328" s="11">
        <v>0.0</v>
      </c>
      <c r="P328" s="11" t="s">
        <v>120</v>
      </c>
      <c r="Q328" s="11" t="s">
        <v>2589</v>
      </c>
      <c r="R328" s="11"/>
      <c r="S328" s="11" t="s">
        <v>2590</v>
      </c>
      <c r="T328" s="11">
        <v>308.0</v>
      </c>
      <c r="U328" s="11" t="s">
        <v>2591</v>
      </c>
      <c r="V328" s="11" t="s">
        <v>126</v>
      </c>
      <c r="W328" s="11">
        <v>1405.0</v>
      </c>
      <c r="X328" s="11" t="s">
        <v>69</v>
      </c>
      <c r="Y328" s="11" t="s">
        <v>2592</v>
      </c>
      <c r="Z328" s="11">
        <v>1.161607139E9</v>
      </c>
      <c r="AA328" s="11" t="s">
        <v>71</v>
      </c>
      <c r="AB328" s="11"/>
      <c r="AC328" s="11"/>
      <c r="AD328" s="11"/>
      <c r="AE328" s="11" t="s">
        <v>2596</v>
      </c>
      <c r="AF328" s="11" t="s">
        <v>2597</v>
      </c>
      <c r="AG328" s="18">
        <v>46286.955416666664</v>
      </c>
      <c r="AH328" s="18">
        <v>46286.955462962964</v>
      </c>
      <c r="AI328" s="11"/>
      <c r="AJ328" s="11"/>
      <c r="AK328" s="11">
        <v>18253.0</v>
      </c>
      <c r="AL328" s="21" t="s">
        <v>1423</v>
      </c>
      <c r="AM328" s="16"/>
      <c r="AN328" s="16"/>
      <c r="AO328" s="23"/>
      <c r="AP328" s="16" t="s">
        <v>76</v>
      </c>
      <c r="AQ328" s="16">
        <v>3895.0</v>
      </c>
      <c r="AR328" s="16"/>
      <c r="AS328" s="11" t="s">
        <v>197</v>
      </c>
      <c r="AT328" s="11" t="s">
        <v>1264</v>
      </c>
      <c r="AU328" s="11" t="s">
        <v>2589</v>
      </c>
      <c r="AV328" s="11">
        <v>5.4184438E7</v>
      </c>
      <c r="AW328" s="11" t="s">
        <v>99</v>
      </c>
      <c r="AX328" s="11">
        <v>1.161607139E9</v>
      </c>
      <c r="AY328" s="11" t="s">
        <v>2592</v>
      </c>
      <c r="AZ328" s="24">
        <v>41848.0</v>
      </c>
      <c r="BA328" s="11" t="s">
        <v>100</v>
      </c>
      <c r="BB328" s="11" t="s">
        <v>101</v>
      </c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</row>
    <row r="329" ht="19.5" customHeight="1">
      <c r="A329" s="10" t="b">
        <v>0</v>
      </c>
      <c r="B329" s="11"/>
      <c r="C329" s="13" t="s">
        <v>59</v>
      </c>
      <c r="D329" s="14" t="s">
        <v>60</v>
      </c>
      <c r="E329" s="11"/>
      <c r="F329" s="15" t="s">
        <v>4</v>
      </c>
      <c r="G329" s="16">
        <v>440.0</v>
      </c>
      <c r="H329" s="16"/>
      <c r="I329" s="16">
        <v>47166.0</v>
      </c>
      <c r="J329" s="11" t="s">
        <v>61</v>
      </c>
      <c r="K329" s="11" t="s">
        <v>62</v>
      </c>
      <c r="L329" s="18">
        <v>46286.83384259259</v>
      </c>
      <c r="M329" s="18">
        <v>46286.83398148148</v>
      </c>
      <c r="N329" s="11" t="s">
        <v>63</v>
      </c>
      <c r="O329" s="11">
        <v>0.0</v>
      </c>
      <c r="P329" s="11" t="s">
        <v>2186</v>
      </c>
      <c r="Q329" s="11" t="s">
        <v>2598</v>
      </c>
      <c r="R329" s="11"/>
      <c r="S329" s="11" t="s">
        <v>2599</v>
      </c>
      <c r="T329" s="11"/>
      <c r="U329" s="11" t="s">
        <v>988</v>
      </c>
      <c r="V329" s="11" t="s">
        <v>68</v>
      </c>
      <c r="W329" s="11">
        <v>7600.0</v>
      </c>
      <c r="X329" s="11" t="s">
        <v>69</v>
      </c>
      <c r="Y329" s="11" t="s">
        <v>2600</v>
      </c>
      <c r="Z329" s="11">
        <v>2.235192855E9</v>
      </c>
      <c r="AA329" s="11" t="s">
        <v>71</v>
      </c>
      <c r="AB329" s="11"/>
      <c r="AC329" s="11"/>
      <c r="AD329" s="11"/>
      <c r="AE329" s="11" t="s">
        <v>2601</v>
      </c>
      <c r="AF329" s="11" t="s">
        <v>2602</v>
      </c>
      <c r="AG329" s="18">
        <v>46286.95884259259</v>
      </c>
      <c r="AH329" s="18">
        <v>46286.95898148148</v>
      </c>
      <c r="AI329" s="11"/>
      <c r="AJ329" s="11"/>
      <c r="AK329" s="11">
        <v>18253.0</v>
      </c>
      <c r="AL329" s="21" t="s">
        <v>1423</v>
      </c>
      <c r="AM329" s="16"/>
      <c r="AN329" s="16"/>
      <c r="AO329" s="23" t="s">
        <v>2603</v>
      </c>
      <c r="AP329" s="16" t="s">
        <v>76</v>
      </c>
      <c r="AQ329" s="16">
        <v>4099.0</v>
      </c>
      <c r="AR329" s="16"/>
      <c r="AS329" s="11" t="s">
        <v>2604</v>
      </c>
      <c r="AT329" s="11" t="s">
        <v>2605</v>
      </c>
      <c r="AU329" s="10" t="s">
        <v>2606</v>
      </c>
      <c r="AV329" s="11">
        <v>5.2786122E7</v>
      </c>
      <c r="AW329" s="11" t="s">
        <v>99</v>
      </c>
      <c r="AX329" s="11">
        <v>2.235192855E9</v>
      </c>
      <c r="AY329" s="11" t="s">
        <v>2600</v>
      </c>
      <c r="AZ329" s="24">
        <v>41185.0</v>
      </c>
      <c r="BA329" s="11" t="s">
        <v>144</v>
      </c>
      <c r="BB329" s="11" t="s">
        <v>349</v>
      </c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</row>
    <row r="330" ht="19.5" customHeight="1">
      <c r="A330" s="10" t="b">
        <v>0</v>
      </c>
      <c r="B330" s="11"/>
      <c r="C330" s="13" t="s">
        <v>60</v>
      </c>
      <c r="D330" s="14" t="s">
        <v>60</v>
      </c>
      <c r="E330" s="11"/>
      <c r="F330" s="15" t="s">
        <v>4</v>
      </c>
      <c r="G330" s="16">
        <v>445.0</v>
      </c>
      <c r="H330" s="16"/>
      <c r="I330" s="16">
        <v>47171.0</v>
      </c>
      <c r="J330" s="11" t="s">
        <v>61</v>
      </c>
      <c r="K330" s="11" t="s">
        <v>62</v>
      </c>
      <c r="L330" s="18">
        <v>46286.84842592593</v>
      </c>
      <c r="M330" s="18">
        <v>46286.848715277774</v>
      </c>
      <c r="N330" s="11" t="s">
        <v>63</v>
      </c>
      <c r="O330" s="11">
        <v>0.0</v>
      </c>
      <c r="P330" s="11" t="s">
        <v>2607</v>
      </c>
      <c r="Q330" s="11" t="s">
        <v>2608</v>
      </c>
      <c r="R330" s="11"/>
      <c r="S330" s="11" t="s">
        <v>2609</v>
      </c>
      <c r="T330" s="11"/>
      <c r="U330" s="11" t="s">
        <v>1328</v>
      </c>
      <c r="V330" s="11" t="s">
        <v>68</v>
      </c>
      <c r="W330" s="11">
        <v>1648.0</v>
      </c>
      <c r="X330" s="11" t="s">
        <v>69</v>
      </c>
      <c r="Y330" s="11" t="s">
        <v>2610</v>
      </c>
      <c r="Z330" s="11">
        <v>1.144094207E9</v>
      </c>
      <c r="AA330" s="11" t="s">
        <v>71</v>
      </c>
      <c r="AB330" s="11"/>
      <c r="AC330" s="11"/>
      <c r="AD330" s="11"/>
      <c r="AE330" s="11" t="s">
        <v>2611</v>
      </c>
      <c r="AF330" s="11" t="s">
        <v>2612</v>
      </c>
      <c r="AG330" s="18">
        <v>46286.97342592593</v>
      </c>
      <c r="AH330" s="18">
        <v>46286.973715277774</v>
      </c>
      <c r="AI330" s="11"/>
      <c r="AJ330" s="11"/>
      <c r="AK330" s="11">
        <v>18253.0</v>
      </c>
      <c r="AL330" s="21" t="s">
        <v>1423</v>
      </c>
      <c r="AM330" s="16"/>
      <c r="AN330" s="16"/>
      <c r="AO330" s="23"/>
      <c r="AP330" s="16" t="s">
        <v>76</v>
      </c>
      <c r="AQ330" s="16">
        <v>4061.0</v>
      </c>
      <c r="AR330" s="16"/>
      <c r="AS330" s="11" t="s">
        <v>251</v>
      </c>
      <c r="AT330" s="11" t="s">
        <v>2613</v>
      </c>
      <c r="AU330" s="11" t="s">
        <v>2614</v>
      </c>
      <c r="AV330" s="11">
        <v>5.2827436E7</v>
      </c>
      <c r="AW330" s="11" t="s">
        <v>99</v>
      </c>
      <c r="AX330" s="11">
        <v>1.144094207E9</v>
      </c>
      <c r="AY330" s="11" t="s">
        <v>2610</v>
      </c>
      <c r="AZ330" s="24">
        <v>41243.0</v>
      </c>
      <c r="BA330" s="11" t="s">
        <v>2615</v>
      </c>
      <c r="BB330" s="11" t="s">
        <v>101</v>
      </c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</row>
    <row r="331" ht="19.5" customHeight="1">
      <c r="A331" s="10" t="b">
        <v>0</v>
      </c>
      <c r="B331" s="11"/>
      <c r="C331" s="13" t="s">
        <v>60</v>
      </c>
      <c r="D331" s="14" t="s">
        <v>60</v>
      </c>
      <c r="E331" s="11"/>
      <c r="F331" s="15" t="s">
        <v>4</v>
      </c>
      <c r="G331" s="16">
        <v>447.0</v>
      </c>
      <c r="H331" s="16"/>
      <c r="I331" s="16">
        <v>47173.0</v>
      </c>
      <c r="J331" s="11" t="s">
        <v>61</v>
      </c>
      <c r="K331" s="11" t="s">
        <v>62</v>
      </c>
      <c r="L331" s="18">
        <v>46286.85055555555</v>
      </c>
      <c r="M331" s="18">
        <v>46286.85060185185</v>
      </c>
      <c r="N331" s="11" t="s">
        <v>63</v>
      </c>
      <c r="O331" s="11">
        <v>0.0</v>
      </c>
      <c r="P331" s="11" t="s">
        <v>2616</v>
      </c>
      <c r="Q331" s="11" t="s">
        <v>2617</v>
      </c>
      <c r="R331" s="11"/>
      <c r="S331" s="11" t="s">
        <v>2618</v>
      </c>
      <c r="T331" s="11" t="s">
        <v>316</v>
      </c>
      <c r="U331" s="11" t="s">
        <v>316</v>
      </c>
      <c r="V331" s="11" t="s">
        <v>68</v>
      </c>
      <c r="W331" s="11">
        <v>2800.0</v>
      </c>
      <c r="X331" s="11" t="s">
        <v>69</v>
      </c>
      <c r="Y331" s="11" t="s">
        <v>2619</v>
      </c>
      <c r="Z331" s="11">
        <v>5.43489214025E11</v>
      </c>
      <c r="AA331" s="11" t="s">
        <v>71</v>
      </c>
      <c r="AB331" s="11"/>
      <c r="AC331" s="11"/>
      <c r="AD331" s="18">
        <v>46286.85060185185</v>
      </c>
      <c r="AE331" s="11" t="s">
        <v>2620</v>
      </c>
      <c r="AF331" s="11" t="s">
        <v>2621</v>
      </c>
      <c r="AG331" s="18">
        <v>46286.97555555555</v>
      </c>
      <c r="AH331" s="18">
        <v>46286.97560185185</v>
      </c>
      <c r="AI331" s="11"/>
      <c r="AJ331" s="18">
        <v>46286.97560185185</v>
      </c>
      <c r="AK331" s="11">
        <v>18253.0</v>
      </c>
      <c r="AL331" s="21" t="s">
        <v>1423</v>
      </c>
      <c r="AM331" s="16"/>
      <c r="AN331" s="16"/>
      <c r="AO331" s="23" t="s">
        <v>2622</v>
      </c>
      <c r="AP331" s="16" t="s">
        <v>76</v>
      </c>
      <c r="AQ331" s="16">
        <v>3247.0</v>
      </c>
      <c r="AR331" s="16"/>
      <c r="AS331" s="11" t="s">
        <v>110</v>
      </c>
      <c r="AT331" s="11" t="s">
        <v>1875</v>
      </c>
      <c r="AU331" s="11" t="s">
        <v>2623</v>
      </c>
      <c r="AV331" s="11">
        <v>5.2130795E7</v>
      </c>
      <c r="AW331" s="11" t="s">
        <v>99</v>
      </c>
      <c r="AX331" s="11">
        <v>3.487728811E9</v>
      </c>
      <c r="AY331" s="11" t="s">
        <v>2619</v>
      </c>
      <c r="AZ331" s="24">
        <v>41019.0</v>
      </c>
      <c r="BA331" s="11" t="s">
        <v>2624</v>
      </c>
      <c r="BB331" s="11" t="s">
        <v>81</v>
      </c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</row>
    <row r="332" ht="19.5" customHeight="1">
      <c r="A332" s="10" t="b">
        <v>0</v>
      </c>
      <c r="B332" s="11"/>
      <c r="C332" s="13" t="s">
        <v>60</v>
      </c>
      <c r="D332" s="14" t="s">
        <v>60</v>
      </c>
      <c r="E332" s="11"/>
      <c r="F332" s="15" t="s">
        <v>4</v>
      </c>
      <c r="G332" s="16">
        <v>449.0</v>
      </c>
      <c r="H332" s="16"/>
      <c r="I332" s="16">
        <v>47175.0</v>
      </c>
      <c r="J332" s="11" t="s">
        <v>61</v>
      </c>
      <c r="K332" s="11" t="s">
        <v>62</v>
      </c>
      <c r="L332" s="18">
        <v>46286.854629629626</v>
      </c>
      <c r="M332" s="18">
        <v>46286.85469907407</v>
      </c>
      <c r="N332" s="11" t="s">
        <v>63</v>
      </c>
      <c r="O332" s="11">
        <v>0.0</v>
      </c>
      <c r="P332" s="11" t="s">
        <v>2607</v>
      </c>
      <c r="Q332" s="11" t="s">
        <v>2608</v>
      </c>
      <c r="R332" s="11"/>
      <c r="S332" s="11" t="s">
        <v>2609</v>
      </c>
      <c r="T332" s="11"/>
      <c r="U332" s="11" t="s">
        <v>1328</v>
      </c>
      <c r="V332" s="11" t="s">
        <v>68</v>
      </c>
      <c r="W332" s="11">
        <v>1648.0</v>
      </c>
      <c r="X332" s="11" t="s">
        <v>69</v>
      </c>
      <c r="Y332" s="11" t="s">
        <v>2610</v>
      </c>
      <c r="Z332" s="11">
        <v>1.144094207E9</v>
      </c>
      <c r="AA332" s="11" t="s">
        <v>71</v>
      </c>
      <c r="AB332" s="11"/>
      <c r="AC332" s="11"/>
      <c r="AD332" s="18">
        <v>46286.85469907407</v>
      </c>
      <c r="AE332" s="11" t="s">
        <v>2625</v>
      </c>
      <c r="AF332" s="11" t="s">
        <v>2626</v>
      </c>
      <c r="AG332" s="18">
        <v>46286.979629629626</v>
      </c>
      <c r="AH332" s="18">
        <v>46286.97969907407</v>
      </c>
      <c r="AI332" s="11"/>
      <c r="AJ332" s="18">
        <v>46286.97969907407</v>
      </c>
      <c r="AK332" s="11">
        <v>18253.0</v>
      </c>
      <c r="AL332" s="21" t="s">
        <v>1423</v>
      </c>
      <c r="AM332" s="16"/>
      <c r="AN332" s="16"/>
      <c r="AO332" s="23"/>
      <c r="AP332" s="16" t="s">
        <v>76</v>
      </c>
      <c r="AQ332" s="16">
        <v>3844.0</v>
      </c>
      <c r="AR332" s="16"/>
      <c r="AS332" s="11" t="s">
        <v>251</v>
      </c>
      <c r="AT332" s="11" t="s">
        <v>2627</v>
      </c>
      <c r="AU332" s="11" t="s">
        <v>2614</v>
      </c>
      <c r="AV332" s="11">
        <v>5.421295E7</v>
      </c>
      <c r="AW332" s="11" t="s">
        <v>99</v>
      </c>
      <c r="AX332" s="11">
        <v>1.144094207E9</v>
      </c>
      <c r="AY332" s="11" t="s">
        <v>2610</v>
      </c>
      <c r="AZ332" s="24">
        <v>41893.0</v>
      </c>
      <c r="BA332" s="11" t="s">
        <v>2615</v>
      </c>
      <c r="BB332" s="11" t="s">
        <v>101</v>
      </c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</row>
    <row r="333" ht="19.5" customHeight="1">
      <c r="A333" s="10" t="b">
        <v>0</v>
      </c>
      <c r="B333" s="11"/>
      <c r="C333" s="13" t="s">
        <v>60</v>
      </c>
      <c r="D333" s="14" t="s">
        <v>60</v>
      </c>
      <c r="E333" s="11"/>
      <c r="F333" s="15" t="s">
        <v>4</v>
      </c>
      <c r="G333" s="16">
        <v>455.0</v>
      </c>
      <c r="H333" s="16"/>
      <c r="I333" s="16">
        <v>47181.0</v>
      </c>
      <c r="J333" s="11" t="s">
        <v>61</v>
      </c>
      <c r="K333" s="11" t="s">
        <v>62</v>
      </c>
      <c r="L333" s="18">
        <v>46286.869942129626</v>
      </c>
      <c r="M333" s="18">
        <v>46286.87002314815</v>
      </c>
      <c r="N333" s="11" t="s">
        <v>63</v>
      </c>
      <c r="O333" s="11">
        <v>0.0</v>
      </c>
      <c r="P333" s="11" t="s">
        <v>2628</v>
      </c>
      <c r="Q333" s="11" t="s">
        <v>2629</v>
      </c>
      <c r="R333" s="11"/>
      <c r="S333" s="11" t="s">
        <v>2630</v>
      </c>
      <c r="T333" s="11"/>
      <c r="U333" s="11" t="s">
        <v>2631</v>
      </c>
      <c r="V333" s="11" t="s">
        <v>68</v>
      </c>
      <c r="W333" s="11">
        <v>1050.0</v>
      </c>
      <c r="X333" s="11" t="s">
        <v>69</v>
      </c>
      <c r="Y333" s="11" t="s">
        <v>194</v>
      </c>
      <c r="Z333" s="11">
        <v>5.49116046444E12</v>
      </c>
      <c r="AA333" s="11" t="s">
        <v>71</v>
      </c>
      <c r="AB333" s="11"/>
      <c r="AC333" s="11"/>
      <c r="AD333" s="18">
        <v>46286.87002314815</v>
      </c>
      <c r="AE333" s="11" t="s">
        <v>2632</v>
      </c>
      <c r="AF333" s="11" t="s">
        <v>2633</v>
      </c>
      <c r="AG333" s="18">
        <v>46286.994942129626</v>
      </c>
      <c r="AH333" s="18">
        <v>46286.99502314815</v>
      </c>
      <c r="AI333" s="11"/>
      <c r="AJ333" s="18">
        <v>46286.99502314815</v>
      </c>
      <c r="AK333" s="11">
        <v>18253.0</v>
      </c>
      <c r="AL333" s="21" t="s">
        <v>1423</v>
      </c>
      <c r="AM333" s="16"/>
      <c r="AN333" s="16"/>
      <c r="AO333" s="23"/>
      <c r="AP333" s="16" t="s">
        <v>76</v>
      </c>
      <c r="AQ333" s="16">
        <v>4130.0</v>
      </c>
      <c r="AR333" s="16"/>
      <c r="AS333" s="10" t="s">
        <v>197</v>
      </c>
      <c r="AT333" s="11" t="s">
        <v>260</v>
      </c>
      <c r="AU333" s="11" t="s">
        <v>193</v>
      </c>
      <c r="AV333" s="11">
        <v>5.2454489E7</v>
      </c>
      <c r="AW333" s="11" t="s">
        <v>99</v>
      </c>
      <c r="AX333" s="11">
        <v>1.16046444E9</v>
      </c>
      <c r="AY333" s="11" t="s">
        <v>194</v>
      </c>
      <c r="AZ333" s="30">
        <v>41088.0</v>
      </c>
      <c r="BA333" s="11" t="s">
        <v>199</v>
      </c>
      <c r="BB333" s="11" t="s">
        <v>81</v>
      </c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</row>
    <row r="334" ht="19.5" customHeight="1">
      <c r="A334" s="10" t="b">
        <v>0</v>
      </c>
      <c r="B334" s="11"/>
      <c r="C334" s="13" t="s">
        <v>59</v>
      </c>
      <c r="D334" s="14" t="s">
        <v>60</v>
      </c>
      <c r="E334" s="11"/>
      <c r="F334" s="15" t="s">
        <v>4</v>
      </c>
      <c r="G334" s="16">
        <v>456.0</v>
      </c>
      <c r="H334" s="16"/>
      <c r="I334" s="16">
        <v>47182.0</v>
      </c>
      <c r="J334" s="11" t="s">
        <v>61</v>
      </c>
      <c r="K334" s="11" t="s">
        <v>62</v>
      </c>
      <c r="L334" s="18">
        <v>46286.871099537035</v>
      </c>
      <c r="M334" s="18">
        <v>46286.871157407404</v>
      </c>
      <c r="N334" s="11" t="s">
        <v>63</v>
      </c>
      <c r="O334" s="11">
        <v>0.0</v>
      </c>
      <c r="P334" s="11" t="s">
        <v>2634</v>
      </c>
      <c r="Q334" s="11" t="s">
        <v>2635</v>
      </c>
      <c r="R334" s="11"/>
      <c r="S334" s="11" t="s">
        <v>2636</v>
      </c>
      <c r="T334" s="11"/>
      <c r="U334" s="11" t="s">
        <v>501</v>
      </c>
      <c r="V334" s="11" t="s">
        <v>101</v>
      </c>
      <c r="W334" s="11">
        <v>2919.0</v>
      </c>
      <c r="X334" s="11" t="s">
        <v>69</v>
      </c>
      <c r="Y334" s="11" t="s">
        <v>2637</v>
      </c>
      <c r="Z334" s="11">
        <v>3.364257977E9</v>
      </c>
      <c r="AA334" s="11" t="s">
        <v>71</v>
      </c>
      <c r="AB334" s="11"/>
      <c r="AC334" s="11"/>
      <c r="AD334" s="18">
        <v>46286.871157407404</v>
      </c>
      <c r="AE334" s="11" t="s">
        <v>2638</v>
      </c>
      <c r="AF334" s="11" t="s">
        <v>2639</v>
      </c>
      <c r="AG334" s="18">
        <v>46286.996099537035</v>
      </c>
      <c r="AH334" s="18">
        <v>46286.996157407404</v>
      </c>
      <c r="AI334" s="11"/>
      <c r="AJ334" s="18">
        <v>46286.996157407404</v>
      </c>
      <c r="AK334" s="11">
        <v>18253.0</v>
      </c>
      <c r="AL334" s="21" t="s">
        <v>1423</v>
      </c>
      <c r="AM334" s="16"/>
      <c r="AN334" s="16"/>
      <c r="AO334" s="23" t="s">
        <v>2640</v>
      </c>
      <c r="AP334" s="16" t="s">
        <v>76</v>
      </c>
      <c r="AQ334" s="16">
        <v>4102.0</v>
      </c>
      <c r="AR334" s="16"/>
      <c r="AS334" s="11" t="s">
        <v>1108</v>
      </c>
      <c r="AT334" s="11" t="s">
        <v>690</v>
      </c>
      <c r="AU334" s="11" t="s">
        <v>2635</v>
      </c>
      <c r="AV334" s="11">
        <v>5.2871672E7</v>
      </c>
      <c r="AW334" s="11" t="s">
        <v>99</v>
      </c>
      <c r="AX334" s="11">
        <v>3.364257977E9</v>
      </c>
      <c r="AY334" s="11" t="s">
        <v>2637</v>
      </c>
      <c r="AZ334" s="24">
        <v>41453.0</v>
      </c>
      <c r="BA334" s="11" t="s">
        <v>144</v>
      </c>
      <c r="BB334" s="11" t="s">
        <v>81</v>
      </c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</row>
    <row r="335" ht="19.5" customHeight="1">
      <c r="A335" s="10" t="b">
        <v>0</v>
      </c>
      <c r="B335" s="11"/>
      <c r="C335" s="13" t="s">
        <v>60</v>
      </c>
      <c r="D335" s="14" t="s">
        <v>60</v>
      </c>
      <c r="E335" s="11"/>
      <c r="F335" s="15" t="s">
        <v>4</v>
      </c>
      <c r="G335" s="16">
        <v>459.0</v>
      </c>
      <c r="H335" s="16"/>
      <c r="I335" s="16">
        <v>47185.0</v>
      </c>
      <c r="J335" s="11" t="s">
        <v>61</v>
      </c>
      <c r="K335" s="11" t="s">
        <v>62</v>
      </c>
      <c r="L335" s="18">
        <v>46286.87432870371</v>
      </c>
      <c r="M335" s="18">
        <v>46286.874398148146</v>
      </c>
      <c r="N335" s="11" t="s">
        <v>63</v>
      </c>
      <c r="O335" s="11">
        <v>0.0</v>
      </c>
      <c r="P335" s="11" t="s">
        <v>727</v>
      </c>
      <c r="Q335" s="11" t="s">
        <v>305</v>
      </c>
      <c r="R335" s="11"/>
      <c r="S335" s="11" t="s">
        <v>2641</v>
      </c>
      <c r="T335" s="11">
        <v>3157.0</v>
      </c>
      <c r="U335" s="11" t="s">
        <v>1618</v>
      </c>
      <c r="V335" s="11" t="s">
        <v>1587</v>
      </c>
      <c r="W335" s="11">
        <v>3300.0</v>
      </c>
      <c r="X335" s="11" t="s">
        <v>69</v>
      </c>
      <c r="Y335" s="11" t="s">
        <v>2642</v>
      </c>
      <c r="Z335" s="11">
        <v>5.4116449484E11</v>
      </c>
      <c r="AA335" s="11" t="s">
        <v>71</v>
      </c>
      <c r="AB335" s="11"/>
      <c r="AC335" s="11"/>
      <c r="AD335" s="18">
        <v>46286.874386574076</v>
      </c>
      <c r="AE335" s="11" t="s">
        <v>2643</v>
      </c>
      <c r="AF335" s="11" t="s">
        <v>2644</v>
      </c>
      <c r="AG335" s="18">
        <v>46286.99932870371</v>
      </c>
      <c r="AH335" s="18">
        <v>46286.999398148146</v>
      </c>
      <c r="AI335" s="11"/>
      <c r="AJ335" s="18">
        <v>46286.999386574076</v>
      </c>
      <c r="AK335" s="11">
        <v>18253.0</v>
      </c>
      <c r="AL335" s="21" t="s">
        <v>1423</v>
      </c>
      <c r="AM335" s="16"/>
      <c r="AN335" s="14" t="s">
        <v>39</v>
      </c>
      <c r="AO335" s="23" t="s">
        <v>2645</v>
      </c>
      <c r="AP335" s="16" t="s">
        <v>76</v>
      </c>
      <c r="AQ335" s="16">
        <v>3327.0</v>
      </c>
      <c r="AR335" s="16"/>
      <c r="AS335" s="11" t="s">
        <v>1631</v>
      </c>
      <c r="AT335" s="11" t="s">
        <v>2488</v>
      </c>
      <c r="AU335" s="11" t="s">
        <v>305</v>
      </c>
      <c r="AV335" s="11">
        <v>5.3090658E7</v>
      </c>
      <c r="AW335" s="11" t="s">
        <v>79</v>
      </c>
      <c r="AX335" s="11">
        <v>1.16449484E9</v>
      </c>
      <c r="AY335" s="11" t="s">
        <v>2642</v>
      </c>
      <c r="AZ335" s="24">
        <v>41435.0</v>
      </c>
      <c r="BA335" s="11" t="s">
        <v>2646</v>
      </c>
      <c r="BB335" s="11" t="s">
        <v>101</v>
      </c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</row>
    <row r="336" ht="19.5" customHeight="1">
      <c r="A336" s="10" t="b">
        <v>0</v>
      </c>
      <c r="B336" s="11"/>
      <c r="C336" s="13" t="s">
        <v>59</v>
      </c>
      <c r="D336" s="14" t="s">
        <v>60</v>
      </c>
      <c r="E336" s="11"/>
      <c r="F336" s="15" t="s">
        <v>4</v>
      </c>
      <c r="G336" s="16">
        <v>463.0</v>
      </c>
      <c r="H336" s="16"/>
      <c r="I336" s="16">
        <v>47189.0</v>
      </c>
      <c r="J336" s="11" t="s">
        <v>61</v>
      </c>
      <c r="K336" s="11" t="s">
        <v>62</v>
      </c>
      <c r="L336" s="18">
        <v>46286.88350694445</v>
      </c>
      <c r="M336" s="18">
        <v>46286.883564814816</v>
      </c>
      <c r="N336" s="11" t="s">
        <v>63</v>
      </c>
      <c r="O336" s="11">
        <v>0.0</v>
      </c>
      <c r="P336" s="11" t="s">
        <v>2647</v>
      </c>
      <c r="Q336" s="11" t="s">
        <v>2648</v>
      </c>
      <c r="R336" s="11"/>
      <c r="S336" s="11" t="s">
        <v>2649</v>
      </c>
      <c r="T336" s="11"/>
      <c r="U336" s="11" t="s">
        <v>2337</v>
      </c>
      <c r="V336" s="11" t="s">
        <v>126</v>
      </c>
      <c r="W336" s="11">
        <v>1670.0</v>
      </c>
      <c r="X336" s="11" t="s">
        <v>69</v>
      </c>
      <c r="Y336" s="11" t="s">
        <v>2650</v>
      </c>
      <c r="Z336" s="11">
        <v>5.41165444982E11</v>
      </c>
      <c r="AA336" s="11" t="s">
        <v>71</v>
      </c>
      <c r="AB336" s="11"/>
      <c r="AC336" s="11"/>
      <c r="AD336" s="18">
        <v>46286.883564814816</v>
      </c>
      <c r="AE336" s="11" t="s">
        <v>2651</v>
      </c>
      <c r="AF336" s="11" t="s">
        <v>2652</v>
      </c>
      <c r="AG336" s="18">
        <v>46287.00850694445</v>
      </c>
      <c r="AH336" s="18">
        <v>46287.008564814816</v>
      </c>
      <c r="AI336" s="11"/>
      <c r="AJ336" s="18">
        <v>46287.008564814816</v>
      </c>
      <c r="AK336" s="11">
        <v>18253.0</v>
      </c>
      <c r="AL336" s="21" t="s">
        <v>1423</v>
      </c>
      <c r="AM336" s="16"/>
      <c r="AN336" s="14" t="s">
        <v>39</v>
      </c>
      <c r="AO336" s="23" t="s">
        <v>2653</v>
      </c>
      <c r="AP336" s="16" t="s">
        <v>76</v>
      </c>
      <c r="AQ336" s="16">
        <v>3547.0</v>
      </c>
      <c r="AR336" s="16"/>
      <c r="AS336" s="11" t="s">
        <v>197</v>
      </c>
      <c r="AT336" s="11" t="s">
        <v>909</v>
      </c>
      <c r="AU336" s="11" t="s">
        <v>2654</v>
      </c>
      <c r="AV336" s="11">
        <v>5.2091248E7</v>
      </c>
      <c r="AW336" s="11" t="s">
        <v>79</v>
      </c>
      <c r="AX336" s="11">
        <v>1.165444982E9</v>
      </c>
      <c r="AY336" s="11" t="s">
        <v>2650</v>
      </c>
      <c r="AZ336" s="24">
        <v>40883.0</v>
      </c>
      <c r="BA336" s="11" t="s">
        <v>121</v>
      </c>
      <c r="BB336" s="11" t="s">
        <v>81</v>
      </c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</row>
    <row r="337" ht="19.5" customHeight="1">
      <c r="A337" s="10" t="b">
        <v>0</v>
      </c>
      <c r="B337" s="11"/>
      <c r="C337" s="13" t="s">
        <v>60</v>
      </c>
      <c r="D337" s="14" t="s">
        <v>60</v>
      </c>
      <c r="E337" s="11"/>
      <c r="F337" s="15" t="s">
        <v>4</v>
      </c>
      <c r="G337" s="16">
        <v>465.0</v>
      </c>
      <c r="H337" s="16"/>
      <c r="I337" s="16">
        <v>47191.0</v>
      </c>
      <c r="J337" s="11" t="s">
        <v>85</v>
      </c>
      <c r="K337" s="11" t="s">
        <v>62</v>
      </c>
      <c r="L337" s="18">
        <v>46286.88744212963</v>
      </c>
      <c r="M337" s="18">
        <v>46286.887453703705</v>
      </c>
      <c r="N337" s="11" t="s">
        <v>63</v>
      </c>
      <c r="O337" s="11">
        <v>0.0</v>
      </c>
      <c r="P337" s="11" t="s">
        <v>1023</v>
      </c>
      <c r="Q337" s="11" t="s">
        <v>1024</v>
      </c>
      <c r="R337" s="11"/>
      <c r="S337" s="11" t="s">
        <v>1025</v>
      </c>
      <c r="T337" s="11" t="s">
        <v>474</v>
      </c>
      <c r="U337" s="11" t="s">
        <v>913</v>
      </c>
      <c r="V337" s="11" t="s">
        <v>126</v>
      </c>
      <c r="W337" s="11">
        <v>1642.0</v>
      </c>
      <c r="X337" s="11" t="s">
        <v>69</v>
      </c>
      <c r="Y337" s="11" t="s">
        <v>1026</v>
      </c>
      <c r="Z337" s="11">
        <v>1.169937066E9</v>
      </c>
      <c r="AA337" s="11" t="s">
        <v>645</v>
      </c>
      <c r="AB337" s="11"/>
      <c r="AC337" s="11"/>
      <c r="AD337" s="11"/>
      <c r="AE337" s="11" t="s">
        <v>2655</v>
      </c>
      <c r="AF337" s="11" t="s">
        <v>2656</v>
      </c>
      <c r="AG337" s="18">
        <v>46287.01244212963</v>
      </c>
      <c r="AH337" s="18">
        <v>46287.012453703705</v>
      </c>
      <c r="AI337" s="11"/>
      <c r="AJ337" s="11"/>
      <c r="AK337" s="11">
        <v>18234.0</v>
      </c>
      <c r="AL337" s="21" t="s">
        <v>1423</v>
      </c>
      <c r="AM337" s="16"/>
      <c r="AN337" s="14" t="s">
        <v>39</v>
      </c>
      <c r="AO337" s="23"/>
      <c r="AP337" s="16" t="s">
        <v>76</v>
      </c>
      <c r="AQ337" s="16">
        <v>3833.0</v>
      </c>
      <c r="AR337" s="16"/>
      <c r="AS337" s="11" t="s">
        <v>298</v>
      </c>
      <c r="AT337" s="11" t="s">
        <v>1572</v>
      </c>
      <c r="AU337" s="11" t="s">
        <v>1030</v>
      </c>
      <c r="AV337" s="11">
        <v>5.2664667E7</v>
      </c>
      <c r="AW337" s="11" t="s">
        <v>79</v>
      </c>
      <c r="AX337" s="11">
        <v>1.163658885E9</v>
      </c>
      <c r="AY337" s="11" t="s">
        <v>1026</v>
      </c>
      <c r="AZ337" s="31">
        <v>41150.0</v>
      </c>
      <c r="BA337" s="11" t="s">
        <v>640</v>
      </c>
      <c r="BB337" s="11" t="s">
        <v>81</v>
      </c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</row>
    <row r="338" ht="19.5" customHeight="1">
      <c r="A338" s="10" t="b">
        <v>0</v>
      </c>
      <c r="B338" s="11"/>
      <c r="C338" s="13" t="s">
        <v>60</v>
      </c>
      <c r="D338" s="14" t="s">
        <v>60</v>
      </c>
      <c r="E338" s="11"/>
      <c r="F338" s="15" t="s">
        <v>4</v>
      </c>
      <c r="G338" s="16">
        <v>467.0</v>
      </c>
      <c r="H338" s="16"/>
      <c r="I338" s="16">
        <v>47193.0</v>
      </c>
      <c r="J338" s="11" t="s">
        <v>402</v>
      </c>
      <c r="K338" s="11" t="s">
        <v>62</v>
      </c>
      <c r="L338" s="18">
        <v>46286.89417824074</v>
      </c>
      <c r="M338" s="18">
        <v>46286.89417824074</v>
      </c>
      <c r="N338" s="11" t="s">
        <v>63</v>
      </c>
      <c r="O338" s="11">
        <v>0.0</v>
      </c>
      <c r="P338" s="11" t="s">
        <v>939</v>
      </c>
      <c r="Q338" s="11" t="s">
        <v>2657</v>
      </c>
      <c r="R338" s="11"/>
      <c r="S338" s="11" t="s">
        <v>2658</v>
      </c>
      <c r="T338" s="11" t="s">
        <v>2659</v>
      </c>
      <c r="U338" s="11" t="s">
        <v>276</v>
      </c>
      <c r="V338" s="11" t="s">
        <v>126</v>
      </c>
      <c r="W338" s="11">
        <v>1128.0</v>
      </c>
      <c r="X338" s="11" t="s">
        <v>69</v>
      </c>
      <c r="Y338" s="11" t="s">
        <v>2660</v>
      </c>
      <c r="Z338" s="11">
        <v>1.144078857E9</v>
      </c>
      <c r="AA338" s="11" t="s">
        <v>71</v>
      </c>
      <c r="AB338" s="11"/>
      <c r="AC338" s="11"/>
      <c r="AD338" s="11"/>
      <c r="AE338" s="11" t="s">
        <v>2661</v>
      </c>
      <c r="AF338" s="11" t="s">
        <v>2662</v>
      </c>
      <c r="AG338" s="18">
        <v>46287.01917824074</v>
      </c>
      <c r="AH338" s="18">
        <v>46287.01917824074</v>
      </c>
      <c r="AI338" s="11"/>
      <c r="AJ338" s="11"/>
      <c r="AK338" s="11">
        <v>18253.0</v>
      </c>
      <c r="AL338" s="21" t="s">
        <v>1423</v>
      </c>
      <c r="AM338" s="16"/>
      <c r="AN338" s="14" t="s">
        <v>39</v>
      </c>
      <c r="AO338" s="23" t="s">
        <v>2045</v>
      </c>
      <c r="AP338" s="16" t="s">
        <v>76</v>
      </c>
      <c r="AQ338" s="16">
        <v>4205.0</v>
      </c>
      <c r="AR338" s="16"/>
      <c r="AS338" s="11" t="s">
        <v>2595</v>
      </c>
      <c r="AT338" s="11" t="s">
        <v>2663</v>
      </c>
      <c r="AU338" s="11" t="s">
        <v>2657</v>
      </c>
      <c r="AV338" s="11">
        <v>5.2454232E7</v>
      </c>
      <c r="AW338" s="11" t="s">
        <v>79</v>
      </c>
      <c r="AX338" s="11">
        <v>1.144078857E9</v>
      </c>
      <c r="AY338" s="11" t="s">
        <v>2660</v>
      </c>
      <c r="AZ338" s="24">
        <v>41059.0</v>
      </c>
      <c r="BA338" s="11" t="s">
        <v>2664</v>
      </c>
      <c r="BB338" s="11" t="s">
        <v>1573</v>
      </c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</row>
    <row r="339" ht="19.5" customHeight="1">
      <c r="A339" s="10" t="b">
        <v>0</v>
      </c>
      <c r="B339" s="11"/>
      <c r="C339" s="13" t="s">
        <v>60</v>
      </c>
      <c r="D339" s="14" t="s">
        <v>60</v>
      </c>
      <c r="E339" s="11"/>
      <c r="F339" s="15" t="s">
        <v>4</v>
      </c>
      <c r="G339" s="16">
        <v>469.0</v>
      </c>
      <c r="H339" s="16"/>
      <c r="I339" s="16">
        <v>47195.0</v>
      </c>
      <c r="J339" s="11" t="s">
        <v>61</v>
      </c>
      <c r="K339" s="11" t="s">
        <v>62</v>
      </c>
      <c r="L339" s="18">
        <v>46286.90146990741</v>
      </c>
      <c r="M339" s="18">
        <v>46286.901504629626</v>
      </c>
      <c r="N339" s="11" t="s">
        <v>63</v>
      </c>
      <c r="O339" s="11">
        <v>0.0</v>
      </c>
      <c r="P339" s="11" t="s">
        <v>2665</v>
      </c>
      <c r="Q339" s="11" t="s">
        <v>2666</v>
      </c>
      <c r="R339" s="11"/>
      <c r="S339" s="11" t="s">
        <v>2667</v>
      </c>
      <c r="T339" s="11"/>
      <c r="U339" s="11" t="s">
        <v>1212</v>
      </c>
      <c r="V339" s="11" t="s">
        <v>68</v>
      </c>
      <c r="W339" s="11">
        <v>1640.0</v>
      </c>
      <c r="X339" s="11" t="s">
        <v>69</v>
      </c>
      <c r="Y339" s="11" t="s">
        <v>2668</v>
      </c>
      <c r="Z339" s="11">
        <v>1.14937908E9</v>
      </c>
      <c r="AA339" s="11" t="s">
        <v>71</v>
      </c>
      <c r="AB339" s="11"/>
      <c r="AC339" s="11"/>
      <c r="AD339" s="11"/>
      <c r="AE339" s="11" t="s">
        <v>2669</v>
      </c>
      <c r="AF339" s="11" t="s">
        <v>2670</v>
      </c>
      <c r="AG339" s="18">
        <v>46287.02646990741</v>
      </c>
      <c r="AH339" s="18">
        <v>46287.026504629626</v>
      </c>
      <c r="AI339" s="11"/>
      <c r="AJ339" s="11"/>
      <c r="AK339" s="11">
        <v>18253.0</v>
      </c>
      <c r="AL339" s="21" t="s">
        <v>1423</v>
      </c>
      <c r="AM339" s="16"/>
      <c r="AN339" s="16"/>
      <c r="AO339" s="23"/>
      <c r="AP339" s="16" t="s">
        <v>76</v>
      </c>
      <c r="AQ339" s="16">
        <v>4244.0</v>
      </c>
      <c r="AR339" s="16"/>
      <c r="AS339" s="11" t="s">
        <v>374</v>
      </c>
      <c r="AT339" s="11" t="s">
        <v>950</v>
      </c>
      <c r="AU339" s="11" t="s">
        <v>2666</v>
      </c>
      <c r="AV339" s="11">
        <v>5.3586402E7</v>
      </c>
      <c r="AW339" s="11" t="s">
        <v>99</v>
      </c>
      <c r="AX339" s="11">
        <v>1.14937908E9</v>
      </c>
      <c r="AY339" s="11" t="s">
        <v>2668</v>
      </c>
      <c r="AZ339" s="24">
        <v>41581.0</v>
      </c>
      <c r="BA339" s="11" t="s">
        <v>2671</v>
      </c>
      <c r="BB339" s="11" t="s">
        <v>81</v>
      </c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</row>
    <row r="340" ht="19.5" customHeight="1">
      <c r="A340" s="10" t="b">
        <v>0</v>
      </c>
      <c r="B340" s="11"/>
      <c r="C340" s="13" t="s">
        <v>60</v>
      </c>
      <c r="D340" s="14" t="s">
        <v>60</v>
      </c>
      <c r="E340" s="11"/>
      <c r="F340" s="15" t="s">
        <v>4</v>
      </c>
      <c r="G340" s="16">
        <v>480.0</v>
      </c>
      <c r="H340" s="16"/>
      <c r="I340" s="16">
        <v>47206.0</v>
      </c>
      <c r="J340" s="11" t="s">
        <v>61</v>
      </c>
      <c r="K340" s="11" t="s">
        <v>62</v>
      </c>
      <c r="L340" s="18">
        <v>46286.93417824074</v>
      </c>
      <c r="M340" s="18">
        <v>46286.934224537035</v>
      </c>
      <c r="N340" s="11" t="s">
        <v>63</v>
      </c>
      <c r="O340" s="11">
        <v>0.0</v>
      </c>
      <c r="P340" s="11" t="s">
        <v>261</v>
      </c>
      <c r="Q340" s="11" t="s">
        <v>2672</v>
      </c>
      <c r="R340" s="11"/>
      <c r="S340" s="11" t="s">
        <v>2673</v>
      </c>
      <c r="T340" s="11"/>
      <c r="U340" s="11" t="s">
        <v>1319</v>
      </c>
      <c r="V340" s="11" t="s">
        <v>68</v>
      </c>
      <c r="W340" s="11" t="s">
        <v>2674</v>
      </c>
      <c r="X340" s="11" t="s">
        <v>69</v>
      </c>
      <c r="Y340" s="11" t="s">
        <v>2675</v>
      </c>
      <c r="Z340" s="11">
        <v>1.141749061E9</v>
      </c>
      <c r="AA340" s="11" t="s">
        <v>71</v>
      </c>
      <c r="AB340" s="11"/>
      <c r="AC340" s="11"/>
      <c r="AD340" s="18">
        <v>46286.934224537035</v>
      </c>
      <c r="AE340" s="11" t="s">
        <v>2676</v>
      </c>
      <c r="AF340" s="11" t="s">
        <v>2677</v>
      </c>
      <c r="AG340" s="18">
        <v>46287.05917824074</v>
      </c>
      <c r="AH340" s="18">
        <v>46287.059224537035</v>
      </c>
      <c r="AI340" s="11"/>
      <c r="AJ340" s="18">
        <v>46287.059224537035</v>
      </c>
      <c r="AK340" s="11">
        <v>18253.0</v>
      </c>
      <c r="AL340" s="21" t="s">
        <v>1423</v>
      </c>
      <c r="AM340" s="16"/>
      <c r="AN340" s="16"/>
      <c r="AO340" s="23" t="s">
        <v>2678</v>
      </c>
      <c r="AP340" s="16" t="s">
        <v>76</v>
      </c>
      <c r="AQ340" s="16">
        <v>4053.0</v>
      </c>
      <c r="AR340" s="16"/>
      <c r="AS340" s="11" t="s">
        <v>321</v>
      </c>
      <c r="AT340" s="11" t="s">
        <v>2679</v>
      </c>
      <c r="AU340" s="11" t="s">
        <v>2680</v>
      </c>
      <c r="AV340" s="11">
        <v>5.3595476E7</v>
      </c>
      <c r="AW340" s="11" t="s">
        <v>99</v>
      </c>
      <c r="AX340" s="11">
        <v>1.141749061E9</v>
      </c>
      <c r="AY340" s="11" t="s">
        <v>2675</v>
      </c>
      <c r="AZ340" s="24">
        <v>41624.0</v>
      </c>
      <c r="BA340" s="11" t="s">
        <v>144</v>
      </c>
      <c r="BB340" s="11" t="s">
        <v>81</v>
      </c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</row>
    <row r="341" ht="19.5" customHeight="1">
      <c r="A341" s="10" t="b">
        <v>0</v>
      </c>
      <c r="B341" s="11"/>
      <c r="C341" s="13" t="s">
        <v>60</v>
      </c>
      <c r="D341" s="14" t="s">
        <v>60</v>
      </c>
      <c r="E341" s="11"/>
      <c r="F341" s="15" t="s">
        <v>4</v>
      </c>
      <c r="G341" s="16">
        <v>481.0</v>
      </c>
      <c r="H341" s="16"/>
      <c r="I341" s="16">
        <v>47207.0</v>
      </c>
      <c r="J341" s="11" t="s">
        <v>61</v>
      </c>
      <c r="K341" s="11" t="s">
        <v>62</v>
      </c>
      <c r="L341" s="18">
        <v>46286.94572916667</v>
      </c>
      <c r="M341" s="18">
        <v>46286.94579861111</v>
      </c>
      <c r="N341" s="11" t="s">
        <v>133</v>
      </c>
      <c r="O341" s="11">
        <v>0.0</v>
      </c>
      <c r="P341" s="11" t="s">
        <v>1737</v>
      </c>
      <c r="Q341" s="11" t="s">
        <v>2681</v>
      </c>
      <c r="R341" s="11"/>
      <c r="S341" s="11" t="s">
        <v>2682</v>
      </c>
      <c r="T341" s="11"/>
      <c r="U341" s="11" t="s">
        <v>2307</v>
      </c>
      <c r="V341" s="11" t="s">
        <v>2410</v>
      </c>
      <c r="W341" s="11">
        <v>5101.0</v>
      </c>
      <c r="X341" s="11" t="s">
        <v>69</v>
      </c>
      <c r="Y341" s="11" t="s">
        <v>2683</v>
      </c>
      <c r="Z341" s="11">
        <v>3.512339481E9</v>
      </c>
      <c r="AA341" s="11" t="s">
        <v>71</v>
      </c>
      <c r="AB341" s="11"/>
      <c r="AC341" s="11"/>
      <c r="AD341" s="18">
        <v>46286.94579861111</v>
      </c>
      <c r="AE341" s="11" t="s">
        <v>2684</v>
      </c>
      <c r="AF341" s="11" t="s">
        <v>2685</v>
      </c>
      <c r="AG341" s="18">
        <v>46287.07072916667</v>
      </c>
      <c r="AH341" s="18">
        <v>46287.07079861111</v>
      </c>
      <c r="AI341" s="11"/>
      <c r="AJ341" s="18">
        <v>46287.07079861111</v>
      </c>
      <c r="AK341" s="11">
        <v>18253.0</v>
      </c>
      <c r="AL341" s="21" t="s">
        <v>1423</v>
      </c>
      <c r="AM341" s="16"/>
      <c r="AN341" s="14" t="s">
        <v>39</v>
      </c>
      <c r="AO341" s="23" t="s">
        <v>2327</v>
      </c>
      <c r="AP341" s="16" t="s">
        <v>76</v>
      </c>
      <c r="AQ341" s="16">
        <v>3335.0</v>
      </c>
      <c r="AR341" s="16"/>
      <c r="AS341" s="11" t="s">
        <v>2686</v>
      </c>
      <c r="AT341" s="11" t="s">
        <v>2687</v>
      </c>
      <c r="AU341" s="11" t="s">
        <v>2688</v>
      </c>
      <c r="AV341" s="11">
        <v>5.4019646E7</v>
      </c>
      <c r="AW341" s="11" t="s">
        <v>79</v>
      </c>
      <c r="AX341" s="11">
        <v>3.512339481E9</v>
      </c>
      <c r="AY341" s="11" t="s">
        <v>2689</v>
      </c>
      <c r="AZ341" s="24">
        <v>41861.0</v>
      </c>
      <c r="BA341" s="11" t="s">
        <v>252</v>
      </c>
      <c r="BB341" s="11" t="s">
        <v>81</v>
      </c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</row>
    <row r="342" ht="19.5" customHeight="1">
      <c r="A342" s="10" t="b">
        <v>0</v>
      </c>
      <c r="B342" s="11"/>
      <c r="C342" s="13" t="s">
        <v>59</v>
      </c>
      <c r="D342" s="14" t="s">
        <v>60</v>
      </c>
      <c r="E342" s="11"/>
      <c r="F342" s="15" t="s">
        <v>4</v>
      </c>
      <c r="G342" s="16">
        <v>485.0</v>
      </c>
      <c r="H342" s="16"/>
      <c r="I342" s="16">
        <v>47211.0</v>
      </c>
      <c r="J342" s="11" t="s">
        <v>61</v>
      </c>
      <c r="K342" s="11" t="s">
        <v>62</v>
      </c>
      <c r="L342" s="18">
        <v>46286.94938657407</v>
      </c>
      <c r="M342" s="18">
        <v>46286.94949074074</v>
      </c>
      <c r="N342" s="11" t="s">
        <v>63</v>
      </c>
      <c r="O342" s="11">
        <v>0.0</v>
      </c>
      <c r="P342" s="11" t="s">
        <v>1071</v>
      </c>
      <c r="Q342" s="11" t="s">
        <v>1072</v>
      </c>
      <c r="R342" s="11"/>
      <c r="S342" s="11" t="s">
        <v>1073</v>
      </c>
      <c r="T342" s="11"/>
      <c r="U342" s="11" t="s">
        <v>643</v>
      </c>
      <c r="V342" s="11" t="s">
        <v>101</v>
      </c>
      <c r="W342" s="11">
        <v>2000.0</v>
      </c>
      <c r="X342" s="11" t="s">
        <v>69</v>
      </c>
      <c r="Y342" s="11" t="s">
        <v>1074</v>
      </c>
      <c r="Z342" s="11">
        <v>3.41388633E9</v>
      </c>
      <c r="AA342" s="11" t="s">
        <v>71</v>
      </c>
      <c r="AB342" s="11"/>
      <c r="AC342" s="11"/>
      <c r="AD342" s="11"/>
      <c r="AE342" s="11" t="s">
        <v>2690</v>
      </c>
      <c r="AF342" s="11" t="s">
        <v>2691</v>
      </c>
      <c r="AG342" s="18">
        <v>46287.07438657407</v>
      </c>
      <c r="AH342" s="18">
        <v>46287.07449074074</v>
      </c>
      <c r="AI342" s="11"/>
      <c r="AJ342" s="11"/>
      <c r="AK342" s="11">
        <v>18253.0</v>
      </c>
      <c r="AL342" s="21" t="s">
        <v>1423</v>
      </c>
      <c r="AM342" s="16" t="s">
        <v>1426</v>
      </c>
      <c r="AN342" s="14" t="s">
        <v>39</v>
      </c>
      <c r="AO342" s="23"/>
      <c r="AP342" s="16" t="s">
        <v>76</v>
      </c>
      <c r="AQ342" s="16">
        <v>3730.0</v>
      </c>
      <c r="AR342" s="16"/>
      <c r="AS342" s="11" t="s">
        <v>505</v>
      </c>
      <c r="AT342" s="11" t="s">
        <v>78</v>
      </c>
      <c r="AU342" s="11" t="s">
        <v>1072</v>
      </c>
      <c r="AV342" s="11">
        <v>5.4501954E7</v>
      </c>
      <c r="AW342" s="11" t="s">
        <v>79</v>
      </c>
      <c r="AX342" s="11">
        <v>3.41388633E9</v>
      </c>
      <c r="AY342" s="11" t="s">
        <v>1074</v>
      </c>
      <c r="AZ342" s="24">
        <v>42009.0</v>
      </c>
      <c r="BA342" s="11" t="s">
        <v>1077</v>
      </c>
      <c r="BB342" s="11" t="s">
        <v>81</v>
      </c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</row>
    <row r="343" ht="19.5" customHeight="1">
      <c r="A343" s="10" t="b">
        <v>0</v>
      </c>
      <c r="B343" s="11"/>
      <c r="C343" s="13" t="s">
        <v>60</v>
      </c>
      <c r="D343" s="14" t="s">
        <v>60</v>
      </c>
      <c r="E343" s="11"/>
      <c r="F343" s="15" t="s">
        <v>4</v>
      </c>
      <c r="G343" s="16">
        <v>491.0</v>
      </c>
      <c r="H343" s="16"/>
      <c r="I343" s="16">
        <v>47217.0</v>
      </c>
      <c r="J343" s="11" t="s">
        <v>61</v>
      </c>
      <c r="K343" s="11" t="s">
        <v>62</v>
      </c>
      <c r="L343" s="18">
        <v>46286.99061342593</v>
      </c>
      <c r="M343" s="18">
        <v>46286.99068287037</v>
      </c>
      <c r="N343" s="11" t="s">
        <v>63</v>
      </c>
      <c r="O343" s="11">
        <v>0.0</v>
      </c>
      <c r="P343" s="11" t="s">
        <v>2030</v>
      </c>
      <c r="Q343" s="11" t="s">
        <v>2692</v>
      </c>
      <c r="R343" s="11"/>
      <c r="S343" s="11" t="s">
        <v>2693</v>
      </c>
      <c r="T343" s="11"/>
      <c r="U343" s="11" t="s">
        <v>316</v>
      </c>
      <c r="V343" s="11" t="s">
        <v>68</v>
      </c>
      <c r="W343" s="11">
        <v>2800.0</v>
      </c>
      <c r="X343" s="11" t="s">
        <v>69</v>
      </c>
      <c r="Y343" s="11" t="s">
        <v>2694</v>
      </c>
      <c r="Z343" s="11">
        <v>3.487308488E9</v>
      </c>
      <c r="AA343" s="11" t="s">
        <v>71</v>
      </c>
      <c r="AB343" s="11"/>
      <c r="AC343" s="11"/>
      <c r="AD343" s="11"/>
      <c r="AE343" s="11" t="s">
        <v>2695</v>
      </c>
      <c r="AF343" s="11" t="s">
        <v>2696</v>
      </c>
      <c r="AG343" s="18">
        <v>46287.11561342593</v>
      </c>
      <c r="AH343" s="18">
        <v>46287.11568287037</v>
      </c>
      <c r="AI343" s="11"/>
      <c r="AJ343" s="11"/>
      <c r="AK343" s="11">
        <v>18253.0</v>
      </c>
      <c r="AL343" s="21" t="s">
        <v>1423</v>
      </c>
      <c r="AM343" s="16"/>
      <c r="AN343" s="14" t="s">
        <v>39</v>
      </c>
      <c r="AO343" s="23"/>
      <c r="AP343" s="16" t="s">
        <v>76</v>
      </c>
      <c r="AQ343" s="16">
        <v>4352.0</v>
      </c>
      <c r="AR343" s="16"/>
      <c r="AS343" s="11" t="s">
        <v>1874</v>
      </c>
      <c r="AT343" s="11" t="s">
        <v>910</v>
      </c>
      <c r="AU343" s="11" t="s">
        <v>2692</v>
      </c>
      <c r="AV343" s="11">
        <v>5.116744E7</v>
      </c>
      <c r="AW343" s="11" t="s">
        <v>79</v>
      </c>
      <c r="AX343" s="11">
        <v>3.487308488E9</v>
      </c>
      <c r="AY343" s="11" t="s">
        <v>2694</v>
      </c>
      <c r="AZ343" s="24">
        <v>40773.0</v>
      </c>
      <c r="BA343" s="11" t="s">
        <v>2364</v>
      </c>
      <c r="BB343" s="11" t="s">
        <v>81</v>
      </c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</row>
    <row r="344" ht="19.5" customHeight="1">
      <c r="A344" s="10" t="b">
        <v>0</v>
      </c>
      <c r="B344" s="11"/>
      <c r="C344" s="13" t="s">
        <v>60</v>
      </c>
      <c r="D344" s="14" t="s">
        <v>60</v>
      </c>
      <c r="E344" s="11"/>
      <c r="F344" s="15" t="s">
        <v>4</v>
      </c>
      <c r="G344" s="16">
        <v>495.0</v>
      </c>
      <c r="H344" s="16"/>
      <c r="I344" s="16">
        <v>47221.0</v>
      </c>
      <c r="J344" s="11" t="s">
        <v>61</v>
      </c>
      <c r="K344" s="11" t="s">
        <v>62</v>
      </c>
      <c r="L344" s="18">
        <v>46286.996458333335</v>
      </c>
      <c r="M344" s="18">
        <v>46286.996516203704</v>
      </c>
      <c r="N344" s="11" t="s">
        <v>63</v>
      </c>
      <c r="O344" s="11">
        <v>0.0</v>
      </c>
      <c r="P344" s="11" t="s">
        <v>2030</v>
      </c>
      <c r="Q344" s="11" t="s">
        <v>2692</v>
      </c>
      <c r="R344" s="11"/>
      <c r="S344" s="11" t="s">
        <v>2693</v>
      </c>
      <c r="T344" s="11"/>
      <c r="U344" s="11" t="s">
        <v>316</v>
      </c>
      <c r="V344" s="11" t="s">
        <v>68</v>
      </c>
      <c r="W344" s="11">
        <v>2800.0</v>
      </c>
      <c r="X344" s="11" t="s">
        <v>69</v>
      </c>
      <c r="Y344" s="11" t="s">
        <v>2694</v>
      </c>
      <c r="Z344" s="11">
        <v>3.487308488E9</v>
      </c>
      <c r="AA344" s="11" t="s">
        <v>71</v>
      </c>
      <c r="AB344" s="11"/>
      <c r="AC344" s="11"/>
      <c r="AD344" s="18">
        <v>46286.996516203704</v>
      </c>
      <c r="AE344" s="11" t="s">
        <v>2697</v>
      </c>
      <c r="AF344" s="11" t="s">
        <v>2698</v>
      </c>
      <c r="AG344" s="18">
        <v>46287.121458333335</v>
      </c>
      <c r="AH344" s="18">
        <v>46287.121516203704</v>
      </c>
      <c r="AI344" s="11"/>
      <c r="AJ344" s="18">
        <v>46287.121516203704</v>
      </c>
      <c r="AK344" s="11">
        <v>18253.0</v>
      </c>
      <c r="AL344" s="21" t="s">
        <v>1423</v>
      </c>
      <c r="AM344" s="16"/>
      <c r="AN344" s="16"/>
      <c r="AO344" s="23"/>
      <c r="AP344" s="16" t="s">
        <v>76</v>
      </c>
      <c r="AQ344" s="16">
        <v>4001.0</v>
      </c>
      <c r="AR344" s="16"/>
      <c r="AS344" s="11" t="s">
        <v>321</v>
      </c>
      <c r="AT344" s="11" t="s">
        <v>2699</v>
      </c>
      <c r="AU344" s="11" t="s">
        <v>2692</v>
      </c>
      <c r="AV344" s="11">
        <v>5.3610165E7</v>
      </c>
      <c r="AW344" s="11" t="s">
        <v>99</v>
      </c>
      <c r="AX344" s="11">
        <v>3.487308488E9</v>
      </c>
      <c r="AY344" s="11" t="s">
        <v>2694</v>
      </c>
      <c r="AZ344" s="24">
        <v>41594.0</v>
      </c>
      <c r="BA344" s="11" t="s">
        <v>2364</v>
      </c>
      <c r="BB344" s="11" t="s">
        <v>81</v>
      </c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</row>
    <row r="345" ht="19.5" customHeight="1">
      <c r="A345" s="10" t="b">
        <v>0</v>
      </c>
      <c r="B345" s="11"/>
      <c r="C345" s="13" t="s">
        <v>60</v>
      </c>
      <c r="D345" s="14" t="s">
        <v>60</v>
      </c>
      <c r="E345" s="11"/>
      <c r="F345" s="15" t="s">
        <v>4</v>
      </c>
      <c r="G345" s="16">
        <v>496.0</v>
      </c>
      <c r="H345" s="16"/>
      <c r="I345" s="16">
        <v>47222.0</v>
      </c>
      <c r="J345" s="11" t="s">
        <v>402</v>
      </c>
      <c r="K345" s="11" t="s">
        <v>62</v>
      </c>
      <c r="L345" s="18">
        <v>46286.99732638889</v>
      </c>
      <c r="M345" s="18">
        <v>46286.99732638889</v>
      </c>
      <c r="N345" s="11" t="s">
        <v>63</v>
      </c>
      <c r="O345" s="11">
        <v>0.0</v>
      </c>
      <c r="P345" s="11" t="s">
        <v>2700</v>
      </c>
      <c r="Q345" s="11" t="s">
        <v>2701</v>
      </c>
      <c r="R345" s="11"/>
      <c r="S345" s="11" t="s">
        <v>2702</v>
      </c>
      <c r="T345" s="11"/>
      <c r="U345" s="11" t="s">
        <v>2703</v>
      </c>
      <c r="V345" s="11" t="s">
        <v>2410</v>
      </c>
      <c r="W345" s="11">
        <v>5189.0</v>
      </c>
      <c r="X345" s="11" t="s">
        <v>69</v>
      </c>
      <c r="Y345" s="11" t="s">
        <v>2704</v>
      </c>
      <c r="Z345" s="11">
        <v>3.546404411E9</v>
      </c>
      <c r="AA345" s="11" t="s">
        <v>645</v>
      </c>
      <c r="AB345" s="11"/>
      <c r="AC345" s="11"/>
      <c r="AD345" s="11"/>
      <c r="AE345" s="11" t="s">
        <v>408</v>
      </c>
      <c r="AF345" s="11" t="s">
        <v>2705</v>
      </c>
      <c r="AG345" s="18">
        <v>46287.12232638889</v>
      </c>
      <c r="AH345" s="18">
        <v>46287.12232638889</v>
      </c>
      <c r="AI345" s="11"/>
      <c r="AJ345" s="11"/>
      <c r="AK345" s="11">
        <v>18253.0</v>
      </c>
      <c r="AL345" s="21" t="s">
        <v>1423</v>
      </c>
      <c r="AM345" s="16"/>
      <c r="AN345" s="14" t="s">
        <v>39</v>
      </c>
      <c r="AO345" s="23"/>
      <c r="AP345" s="16" t="s">
        <v>76</v>
      </c>
      <c r="AQ345" s="16">
        <v>4157.0</v>
      </c>
      <c r="AR345" s="16"/>
      <c r="AS345" s="11" t="s">
        <v>2706</v>
      </c>
      <c r="AT345" s="11" t="s">
        <v>143</v>
      </c>
      <c r="AU345" s="11" t="s">
        <v>2701</v>
      </c>
      <c r="AV345" s="11">
        <v>5.2964858E7</v>
      </c>
      <c r="AW345" s="11" t="s">
        <v>79</v>
      </c>
      <c r="AX345" s="11">
        <v>3.546404411E9</v>
      </c>
      <c r="AY345" s="11" t="s">
        <v>2704</v>
      </c>
      <c r="AZ345" s="24">
        <v>41321.0</v>
      </c>
      <c r="BA345" s="11" t="s">
        <v>1876</v>
      </c>
      <c r="BB345" s="11" t="s">
        <v>81</v>
      </c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</row>
    <row r="346" ht="19.5" customHeight="1">
      <c r="A346" s="10" t="b">
        <v>0</v>
      </c>
      <c r="B346" s="11"/>
      <c r="C346" s="13" t="s">
        <v>60</v>
      </c>
      <c r="D346" s="14" t="s">
        <v>60</v>
      </c>
      <c r="E346" s="11"/>
      <c r="F346" s="15" t="s">
        <v>4</v>
      </c>
      <c r="G346" s="16">
        <v>499.0</v>
      </c>
      <c r="H346" s="16"/>
      <c r="I346" s="16">
        <v>47225.0</v>
      </c>
      <c r="J346" s="11" t="s">
        <v>61</v>
      </c>
      <c r="K346" s="11" t="s">
        <v>62</v>
      </c>
      <c r="L346" s="18">
        <v>46287.014386574076</v>
      </c>
      <c r="M346" s="18">
        <v>46287.014398148145</v>
      </c>
      <c r="N346" s="11" t="s">
        <v>63</v>
      </c>
      <c r="O346" s="11">
        <v>0.0</v>
      </c>
      <c r="P346" s="11" t="s">
        <v>2707</v>
      </c>
      <c r="Q346" s="11" t="s">
        <v>2708</v>
      </c>
      <c r="R346" s="11"/>
      <c r="S346" s="11" t="s">
        <v>2702</v>
      </c>
      <c r="T346" s="11">
        <v>0.0</v>
      </c>
      <c r="U346" s="11" t="s">
        <v>2703</v>
      </c>
      <c r="V346" s="11" t="s">
        <v>2410</v>
      </c>
      <c r="W346" s="11">
        <v>5189.0</v>
      </c>
      <c r="X346" s="11" t="s">
        <v>69</v>
      </c>
      <c r="Y346" s="11" t="s">
        <v>2704</v>
      </c>
      <c r="Z346" s="11">
        <v>3.546523448E9</v>
      </c>
      <c r="AA346" s="11" t="s">
        <v>645</v>
      </c>
      <c r="AB346" s="11"/>
      <c r="AC346" s="11"/>
      <c r="AD346" s="11"/>
      <c r="AE346" s="11" t="s">
        <v>2709</v>
      </c>
      <c r="AF346" s="11" t="s">
        <v>2710</v>
      </c>
      <c r="AG346" s="18">
        <v>46287.139386574076</v>
      </c>
      <c r="AH346" s="18">
        <v>46287.139398148145</v>
      </c>
      <c r="AI346" s="11"/>
      <c r="AJ346" s="11"/>
      <c r="AK346" s="11">
        <v>18253.0</v>
      </c>
      <c r="AL346" s="21" t="s">
        <v>1423</v>
      </c>
      <c r="AM346" s="16" t="s">
        <v>1426</v>
      </c>
      <c r="AN346" s="16"/>
      <c r="AO346" s="23"/>
      <c r="AP346" s="16" t="s">
        <v>76</v>
      </c>
      <c r="AQ346" s="16">
        <v>4178.0</v>
      </c>
      <c r="AR346" s="16"/>
      <c r="AS346" s="11" t="s">
        <v>2706</v>
      </c>
      <c r="AT346" s="11" t="s">
        <v>2711</v>
      </c>
      <c r="AU346" s="11" t="s">
        <v>2701</v>
      </c>
      <c r="AV346" s="11">
        <v>5.5253495E7</v>
      </c>
      <c r="AW346" s="11" t="s">
        <v>99</v>
      </c>
      <c r="AX346" s="11">
        <v>3.546404411E9</v>
      </c>
      <c r="AY346" s="11" t="s">
        <v>2704</v>
      </c>
      <c r="AZ346" s="24">
        <v>42409.0</v>
      </c>
      <c r="BA346" s="11" t="s">
        <v>1876</v>
      </c>
      <c r="BB346" s="11" t="s">
        <v>101</v>
      </c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</row>
    <row r="347" ht="19.5" customHeight="1">
      <c r="A347" s="10" t="b">
        <v>0</v>
      </c>
      <c r="B347" s="11"/>
      <c r="C347" s="13" t="s">
        <v>59</v>
      </c>
      <c r="D347" s="14" t="s">
        <v>60</v>
      </c>
      <c r="E347" s="11"/>
      <c r="F347" s="15" t="s">
        <v>4</v>
      </c>
      <c r="G347" s="16">
        <v>504.0</v>
      </c>
      <c r="H347" s="16"/>
      <c r="I347" s="16">
        <v>47230.0</v>
      </c>
      <c r="J347" s="11" t="s">
        <v>61</v>
      </c>
      <c r="K347" s="11" t="s">
        <v>62</v>
      </c>
      <c r="L347" s="18">
        <v>46287.333287037036</v>
      </c>
      <c r="M347" s="18">
        <v>46287.33347222222</v>
      </c>
      <c r="N347" s="11" t="s">
        <v>63</v>
      </c>
      <c r="O347" s="11">
        <v>0.0</v>
      </c>
      <c r="P347" s="11" t="s">
        <v>2712</v>
      </c>
      <c r="Q347" s="11" t="s">
        <v>2713</v>
      </c>
      <c r="R347" s="11"/>
      <c r="S347" s="11" t="s">
        <v>2714</v>
      </c>
      <c r="T347" s="11"/>
      <c r="U347" s="11" t="s">
        <v>2715</v>
      </c>
      <c r="V347" s="11" t="s">
        <v>101</v>
      </c>
      <c r="W347" s="11">
        <v>3000.0</v>
      </c>
      <c r="X347" s="11" t="s">
        <v>69</v>
      </c>
      <c r="Y347" s="11" t="s">
        <v>2716</v>
      </c>
      <c r="Z347" s="11">
        <v>3.426301234E9</v>
      </c>
      <c r="AA347" s="11" t="s">
        <v>71</v>
      </c>
      <c r="AB347" s="11"/>
      <c r="AC347" s="11"/>
      <c r="AD347" s="18">
        <v>46287.33347222222</v>
      </c>
      <c r="AE347" s="11" t="s">
        <v>2717</v>
      </c>
      <c r="AF347" s="11" t="s">
        <v>2718</v>
      </c>
      <c r="AG347" s="18">
        <v>46287.458287037036</v>
      </c>
      <c r="AH347" s="18">
        <v>46287.45847222222</v>
      </c>
      <c r="AI347" s="11"/>
      <c r="AJ347" s="18">
        <v>46287.45847222222</v>
      </c>
      <c r="AK347" s="11">
        <v>18253.0</v>
      </c>
      <c r="AL347" s="21" t="s">
        <v>1423</v>
      </c>
      <c r="AM347" s="16"/>
      <c r="AN347" s="14" t="s">
        <v>39</v>
      </c>
      <c r="AO347" s="23" t="s">
        <v>2719</v>
      </c>
      <c r="AP347" s="16" t="s">
        <v>76</v>
      </c>
      <c r="AQ347" s="16">
        <v>3138.0</v>
      </c>
      <c r="AR347" s="16"/>
      <c r="AS347" s="11" t="s">
        <v>1151</v>
      </c>
      <c r="AT347" s="11" t="s">
        <v>2720</v>
      </c>
      <c r="AU347" s="11" t="s">
        <v>2721</v>
      </c>
      <c r="AV347" s="11">
        <v>2.9765247E7</v>
      </c>
      <c r="AW347" s="11" t="s">
        <v>79</v>
      </c>
      <c r="AX347" s="11">
        <v>3.426301234E9</v>
      </c>
      <c r="AY347" s="11" t="s">
        <v>2716</v>
      </c>
      <c r="AZ347" s="30">
        <v>41675.0</v>
      </c>
      <c r="BA347" s="11" t="s">
        <v>973</v>
      </c>
      <c r="BB347" s="11" t="s">
        <v>101</v>
      </c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</row>
    <row r="348" ht="19.5" customHeight="1">
      <c r="A348" s="10" t="b">
        <v>0</v>
      </c>
      <c r="B348" s="11"/>
      <c r="C348" s="13" t="s">
        <v>59</v>
      </c>
      <c r="D348" s="14" t="s">
        <v>60</v>
      </c>
      <c r="E348" s="11"/>
      <c r="F348" s="15" t="s">
        <v>4</v>
      </c>
      <c r="G348" s="16">
        <v>514.0</v>
      </c>
      <c r="H348" s="16"/>
      <c r="I348" s="16">
        <v>47240.0</v>
      </c>
      <c r="J348" s="11" t="s">
        <v>61</v>
      </c>
      <c r="K348" s="11" t="s">
        <v>62</v>
      </c>
      <c r="L348" s="18">
        <v>46287.39501157407</v>
      </c>
      <c r="M348" s="18">
        <v>46287.39505787037</v>
      </c>
      <c r="N348" s="11" t="s">
        <v>63</v>
      </c>
      <c r="O348" s="11">
        <v>0.0</v>
      </c>
      <c r="P348" s="11" t="s">
        <v>1154</v>
      </c>
      <c r="Q348" s="11" t="s">
        <v>1155</v>
      </c>
      <c r="R348" s="11"/>
      <c r="S348" s="11" t="s">
        <v>1156</v>
      </c>
      <c r="T348" s="11">
        <v>449.0</v>
      </c>
      <c r="U348" s="11" t="s">
        <v>276</v>
      </c>
      <c r="V348" s="11" t="s">
        <v>126</v>
      </c>
      <c r="W348" s="11">
        <v>1424.0</v>
      </c>
      <c r="X348" s="11" t="s">
        <v>69</v>
      </c>
      <c r="Y348" s="11" t="s">
        <v>1157</v>
      </c>
      <c r="Z348" s="11">
        <v>1.159890341E9</v>
      </c>
      <c r="AA348" s="11" t="s">
        <v>71</v>
      </c>
      <c r="AB348" s="11"/>
      <c r="AC348" s="11"/>
      <c r="AD348" s="18">
        <v>46287.39505787037</v>
      </c>
      <c r="AE348" s="11" t="s">
        <v>2722</v>
      </c>
      <c r="AF348" s="11" t="s">
        <v>2723</v>
      </c>
      <c r="AG348" s="18">
        <v>46287.52001157407</v>
      </c>
      <c r="AH348" s="18">
        <v>46287.52005787037</v>
      </c>
      <c r="AI348" s="11"/>
      <c r="AJ348" s="18">
        <v>46287.52005787037</v>
      </c>
      <c r="AK348" s="11">
        <v>18253.0</v>
      </c>
      <c r="AL348" s="21" t="s">
        <v>1423</v>
      </c>
      <c r="AM348" s="16"/>
      <c r="AN348" s="16"/>
      <c r="AO348" s="23" t="s">
        <v>2724</v>
      </c>
      <c r="AP348" s="16" t="s">
        <v>76</v>
      </c>
      <c r="AQ348" s="16">
        <v>3693.0</v>
      </c>
      <c r="AR348" s="16"/>
      <c r="AS348" s="11" t="s">
        <v>269</v>
      </c>
      <c r="AT348" s="11" t="s">
        <v>134</v>
      </c>
      <c r="AU348" s="11" t="s">
        <v>1155</v>
      </c>
      <c r="AV348" s="11">
        <v>5.3167705E7</v>
      </c>
      <c r="AW348" s="11" t="s">
        <v>99</v>
      </c>
      <c r="AX348" s="11">
        <v>1.159890341E9</v>
      </c>
      <c r="AY348" s="11" t="s">
        <v>1157</v>
      </c>
      <c r="AZ348" s="24">
        <v>41339.0</v>
      </c>
      <c r="BA348" s="11" t="s">
        <v>1162</v>
      </c>
      <c r="BB348" s="11" t="s">
        <v>349</v>
      </c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</row>
    <row r="349" ht="19.5" customHeight="1">
      <c r="A349" s="10" t="b">
        <v>0</v>
      </c>
      <c r="B349" s="11"/>
      <c r="C349" s="13" t="s">
        <v>59</v>
      </c>
      <c r="D349" s="14" t="s">
        <v>60</v>
      </c>
      <c r="E349" s="11"/>
      <c r="F349" s="15" t="s">
        <v>4</v>
      </c>
      <c r="G349" s="16">
        <v>516.0</v>
      </c>
      <c r="H349" s="16"/>
      <c r="I349" s="16">
        <v>47242.0</v>
      </c>
      <c r="J349" s="11" t="s">
        <v>61</v>
      </c>
      <c r="K349" s="11" t="s">
        <v>62</v>
      </c>
      <c r="L349" s="18">
        <v>46287.396944444445</v>
      </c>
      <c r="M349" s="18">
        <v>46287.39699074074</v>
      </c>
      <c r="N349" s="11" t="s">
        <v>63</v>
      </c>
      <c r="O349" s="11">
        <v>0.0</v>
      </c>
      <c r="P349" s="11" t="s">
        <v>1143</v>
      </c>
      <c r="Q349" s="11" t="s">
        <v>1144</v>
      </c>
      <c r="R349" s="11"/>
      <c r="S349" s="11" t="s">
        <v>1145</v>
      </c>
      <c r="T349" s="11">
        <v>4015.0</v>
      </c>
      <c r="U349" s="11" t="s">
        <v>1146</v>
      </c>
      <c r="V349" s="11" t="s">
        <v>1147</v>
      </c>
      <c r="W349" s="11">
        <v>3100.0</v>
      </c>
      <c r="X349" s="11" t="s">
        <v>69</v>
      </c>
      <c r="Y349" s="11" t="s">
        <v>1148</v>
      </c>
      <c r="Z349" s="11">
        <v>3.435004422E9</v>
      </c>
      <c r="AA349" s="11" t="s">
        <v>71</v>
      </c>
      <c r="AB349" s="11"/>
      <c r="AC349" s="11"/>
      <c r="AD349" s="18">
        <v>46287.39699074074</v>
      </c>
      <c r="AE349" s="11" t="s">
        <v>2725</v>
      </c>
      <c r="AF349" s="11" t="s">
        <v>2726</v>
      </c>
      <c r="AG349" s="18">
        <v>46287.521944444445</v>
      </c>
      <c r="AH349" s="18">
        <v>46287.52199074074</v>
      </c>
      <c r="AI349" s="11"/>
      <c r="AJ349" s="18">
        <v>46287.52199074074</v>
      </c>
      <c r="AK349" s="11">
        <v>18253.0</v>
      </c>
      <c r="AL349" s="21" t="s">
        <v>1423</v>
      </c>
      <c r="AM349" s="16"/>
      <c r="AN349" s="14" t="s">
        <v>39</v>
      </c>
      <c r="AO349" s="23"/>
      <c r="AP349" s="16" t="s">
        <v>76</v>
      </c>
      <c r="AQ349" s="16">
        <v>4168.0</v>
      </c>
      <c r="AR349" s="16"/>
      <c r="AS349" s="11" t="s">
        <v>1151</v>
      </c>
      <c r="AT349" s="11" t="s">
        <v>78</v>
      </c>
      <c r="AU349" s="11" t="s">
        <v>1153</v>
      </c>
      <c r="AV349" s="11">
        <v>5.4156323E7</v>
      </c>
      <c r="AW349" s="11" t="s">
        <v>79</v>
      </c>
      <c r="AX349" s="11">
        <v>3.435004422E9</v>
      </c>
      <c r="AY349" s="11" t="s">
        <v>1148</v>
      </c>
      <c r="AZ349" s="24">
        <v>41866.0</v>
      </c>
      <c r="BA349" s="11" t="s">
        <v>80</v>
      </c>
      <c r="BB349" s="11" t="s">
        <v>101</v>
      </c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</row>
    <row r="350" ht="19.5" customHeight="1">
      <c r="A350" s="10" t="b">
        <v>0</v>
      </c>
      <c r="B350" s="11"/>
      <c r="C350" s="13" t="s">
        <v>60</v>
      </c>
      <c r="D350" s="14" t="s">
        <v>60</v>
      </c>
      <c r="E350" s="11"/>
      <c r="F350" s="15" t="s">
        <v>4</v>
      </c>
      <c r="G350" s="16">
        <v>518.0</v>
      </c>
      <c r="H350" s="16"/>
      <c r="I350" s="16">
        <v>47244.0</v>
      </c>
      <c r="J350" s="11" t="s">
        <v>61</v>
      </c>
      <c r="K350" s="11" t="s">
        <v>62</v>
      </c>
      <c r="L350" s="18">
        <v>46287.40346064815</v>
      </c>
      <c r="M350" s="18">
        <v>46287.40350694444</v>
      </c>
      <c r="N350" s="11" t="s">
        <v>63</v>
      </c>
      <c r="O350" s="11">
        <v>0.0</v>
      </c>
      <c r="P350" s="11" t="s">
        <v>2727</v>
      </c>
      <c r="Q350" s="11" t="s">
        <v>2728</v>
      </c>
      <c r="R350" s="11"/>
      <c r="S350" s="11" t="s">
        <v>2729</v>
      </c>
      <c r="T350" s="11"/>
      <c r="U350" s="11" t="s">
        <v>2730</v>
      </c>
      <c r="V350" s="11" t="s">
        <v>126</v>
      </c>
      <c r="W350" s="11">
        <v>2919.0</v>
      </c>
      <c r="X350" s="11" t="s">
        <v>69</v>
      </c>
      <c r="Y350" s="11" t="s">
        <v>2731</v>
      </c>
      <c r="Z350" s="11">
        <v>5.4340066987E11</v>
      </c>
      <c r="AA350" s="11" t="s">
        <v>71</v>
      </c>
      <c r="AB350" s="11"/>
      <c r="AC350" s="11"/>
      <c r="AD350" s="18">
        <v>46287.40350694444</v>
      </c>
      <c r="AE350" s="11" t="s">
        <v>2732</v>
      </c>
      <c r="AF350" s="11" t="s">
        <v>2733</v>
      </c>
      <c r="AG350" s="18">
        <v>46287.52846064815</v>
      </c>
      <c r="AH350" s="18">
        <v>46287.52850694444</v>
      </c>
      <c r="AI350" s="11"/>
      <c r="AJ350" s="18">
        <v>46287.52850694444</v>
      </c>
      <c r="AK350" s="11">
        <v>18253.0</v>
      </c>
      <c r="AL350" s="21" t="s">
        <v>1423</v>
      </c>
      <c r="AM350" s="16"/>
      <c r="AN350" s="16"/>
      <c r="AO350" s="23"/>
      <c r="AP350" s="16" t="s">
        <v>76</v>
      </c>
      <c r="AQ350" s="16">
        <v>4246.0</v>
      </c>
      <c r="AR350" s="16"/>
      <c r="AS350" s="11" t="s">
        <v>2734</v>
      </c>
      <c r="AT350" s="11" t="s">
        <v>1434</v>
      </c>
      <c r="AU350" s="11" t="s">
        <v>2735</v>
      </c>
      <c r="AV350" s="11">
        <v>5.1281055E7</v>
      </c>
      <c r="AW350" s="11" t="s">
        <v>99</v>
      </c>
      <c r="AX350" s="11">
        <v>3.40066987E9</v>
      </c>
      <c r="AY350" s="11" t="s">
        <v>2731</v>
      </c>
      <c r="AZ350" s="31">
        <v>40716.0</v>
      </c>
      <c r="BA350" s="11" t="s">
        <v>2736</v>
      </c>
      <c r="BB350" s="11" t="s">
        <v>81</v>
      </c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</row>
    <row r="351" ht="19.5" customHeight="1">
      <c r="A351" s="10" t="b">
        <v>0</v>
      </c>
      <c r="B351" s="11"/>
      <c r="C351" s="13" t="s">
        <v>60</v>
      </c>
      <c r="D351" s="14" t="s">
        <v>60</v>
      </c>
      <c r="E351" s="11"/>
      <c r="F351" s="15" t="s">
        <v>4</v>
      </c>
      <c r="G351" s="16">
        <v>519.0</v>
      </c>
      <c r="H351" s="16"/>
      <c r="I351" s="16">
        <v>47245.0</v>
      </c>
      <c r="J351" s="11" t="s">
        <v>61</v>
      </c>
      <c r="K351" s="11" t="s">
        <v>62</v>
      </c>
      <c r="L351" s="18">
        <v>46287.42449074074</v>
      </c>
      <c r="M351" s="18">
        <v>46287.42453703703</v>
      </c>
      <c r="N351" s="11" t="s">
        <v>63</v>
      </c>
      <c r="O351" s="11">
        <v>0.0</v>
      </c>
      <c r="P351" s="11" t="s">
        <v>2737</v>
      </c>
      <c r="Q351" s="11" t="s">
        <v>2738</v>
      </c>
      <c r="R351" s="11"/>
      <c r="S351" s="11" t="s">
        <v>2739</v>
      </c>
      <c r="T351" s="11"/>
      <c r="U351" s="11" t="s">
        <v>428</v>
      </c>
      <c r="V351" s="11" t="s">
        <v>68</v>
      </c>
      <c r="W351" s="11">
        <v>1900.0</v>
      </c>
      <c r="X351" s="11" t="s">
        <v>69</v>
      </c>
      <c r="Y351" s="11" t="s">
        <v>2740</v>
      </c>
      <c r="Z351" s="11">
        <v>2.214288574E9</v>
      </c>
      <c r="AA351" s="11" t="s">
        <v>71</v>
      </c>
      <c r="AB351" s="11"/>
      <c r="AC351" s="11"/>
      <c r="AD351" s="18">
        <v>46287.42453703703</v>
      </c>
      <c r="AE351" s="11" t="s">
        <v>2741</v>
      </c>
      <c r="AF351" s="11" t="s">
        <v>2742</v>
      </c>
      <c r="AG351" s="18">
        <v>46287.54949074074</v>
      </c>
      <c r="AH351" s="18">
        <v>46287.54953703703</v>
      </c>
      <c r="AI351" s="11"/>
      <c r="AJ351" s="18">
        <v>46287.54953703703</v>
      </c>
      <c r="AK351" s="11">
        <v>18253.0</v>
      </c>
      <c r="AL351" s="21" t="s">
        <v>1423</v>
      </c>
      <c r="AM351" s="16" t="s">
        <v>1426</v>
      </c>
      <c r="AN351" s="14" t="s">
        <v>39</v>
      </c>
      <c r="AO351" s="23" t="s">
        <v>734</v>
      </c>
      <c r="AP351" s="16" t="s">
        <v>76</v>
      </c>
      <c r="AQ351" s="16">
        <v>3784.0</v>
      </c>
      <c r="AR351" s="16"/>
      <c r="AS351" s="11" t="s">
        <v>433</v>
      </c>
      <c r="AT351" s="11" t="s">
        <v>993</v>
      </c>
      <c r="AU351" s="11" t="s">
        <v>2738</v>
      </c>
      <c r="AV351" s="11">
        <v>5.527501E7</v>
      </c>
      <c r="AW351" s="11" t="s">
        <v>79</v>
      </c>
      <c r="AX351" s="11">
        <v>2.214288574E9</v>
      </c>
      <c r="AY351" s="11" t="s">
        <v>2740</v>
      </c>
      <c r="AZ351" s="24">
        <v>42369.0</v>
      </c>
      <c r="BA351" s="11" t="s">
        <v>1236</v>
      </c>
      <c r="BB351" s="11" t="s">
        <v>101</v>
      </c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</row>
    <row r="352" ht="19.5" customHeight="1">
      <c r="A352" s="10" t="b">
        <v>0</v>
      </c>
      <c r="B352" s="11"/>
      <c r="C352" s="13" t="s">
        <v>60</v>
      </c>
      <c r="D352" s="14" t="s">
        <v>60</v>
      </c>
      <c r="E352" s="11"/>
      <c r="F352" s="15" t="s">
        <v>4</v>
      </c>
      <c r="G352" s="16">
        <v>525.0</v>
      </c>
      <c r="H352" s="16"/>
      <c r="I352" s="16">
        <v>47251.0</v>
      </c>
      <c r="J352" s="11" t="s">
        <v>61</v>
      </c>
      <c r="K352" s="11" t="s">
        <v>62</v>
      </c>
      <c r="L352" s="18">
        <v>46287.471134259256</v>
      </c>
      <c r="M352" s="18">
        <v>46287.47119212963</v>
      </c>
      <c r="N352" s="11" t="s">
        <v>63</v>
      </c>
      <c r="O352" s="11">
        <v>0.0</v>
      </c>
      <c r="P352" s="11" t="s">
        <v>181</v>
      </c>
      <c r="Q352" s="11" t="s">
        <v>1171</v>
      </c>
      <c r="R352" s="11"/>
      <c r="S352" s="11" t="s">
        <v>1172</v>
      </c>
      <c r="T352" s="11" t="s">
        <v>1173</v>
      </c>
      <c r="U352" s="11" t="s">
        <v>158</v>
      </c>
      <c r="V352" s="11" t="s">
        <v>68</v>
      </c>
      <c r="W352" s="11">
        <v>1210.0</v>
      </c>
      <c r="X352" s="11" t="s">
        <v>69</v>
      </c>
      <c r="Y352" s="11" t="s">
        <v>1174</v>
      </c>
      <c r="Z352" s="11">
        <v>5.491159119062E12</v>
      </c>
      <c r="AA352" s="11" t="s">
        <v>71</v>
      </c>
      <c r="AB352" s="11"/>
      <c r="AC352" s="11"/>
      <c r="AD352" s="18">
        <v>46287.47119212963</v>
      </c>
      <c r="AE352" s="11" t="s">
        <v>2743</v>
      </c>
      <c r="AF352" s="11" t="s">
        <v>2744</v>
      </c>
      <c r="AG352" s="18">
        <v>46287.596134259256</v>
      </c>
      <c r="AH352" s="18">
        <v>46287.59619212963</v>
      </c>
      <c r="AI352" s="11"/>
      <c r="AJ352" s="18">
        <v>46287.59619212963</v>
      </c>
      <c r="AK352" s="11">
        <v>18253.0</v>
      </c>
      <c r="AL352" s="21" t="s">
        <v>1423</v>
      </c>
      <c r="AM352" s="16"/>
      <c r="AN352" s="16"/>
      <c r="AO352" s="23" t="s">
        <v>2745</v>
      </c>
      <c r="AP352" s="16" t="s">
        <v>76</v>
      </c>
      <c r="AQ352" s="16">
        <v>3334.0</v>
      </c>
      <c r="AR352" s="16"/>
      <c r="AS352" s="11" t="s">
        <v>110</v>
      </c>
      <c r="AT352" s="11" t="s">
        <v>2746</v>
      </c>
      <c r="AU352" s="11" t="s">
        <v>1171</v>
      </c>
      <c r="AV352" s="11">
        <v>5.418927E7</v>
      </c>
      <c r="AW352" s="11" t="s">
        <v>99</v>
      </c>
      <c r="AX352" s="11">
        <v>5.491159119062E12</v>
      </c>
      <c r="AY352" s="11" t="s">
        <v>1174</v>
      </c>
      <c r="AZ352" s="31">
        <v>41869.0</v>
      </c>
      <c r="BA352" s="11" t="s">
        <v>966</v>
      </c>
      <c r="BB352" s="11" t="s">
        <v>349</v>
      </c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</row>
    <row r="353" ht="19.5" customHeight="1">
      <c r="A353" s="10" t="b">
        <v>0</v>
      </c>
      <c r="B353" s="11"/>
      <c r="C353" s="13" t="s">
        <v>60</v>
      </c>
      <c r="D353" s="14" t="s">
        <v>60</v>
      </c>
      <c r="E353" s="11"/>
      <c r="F353" s="15" t="s">
        <v>4</v>
      </c>
      <c r="G353" s="16">
        <v>530.0</v>
      </c>
      <c r="H353" s="16"/>
      <c r="I353" s="16">
        <v>47256.0</v>
      </c>
      <c r="J353" s="11" t="s">
        <v>61</v>
      </c>
      <c r="K353" s="11" t="s">
        <v>62</v>
      </c>
      <c r="L353" s="18">
        <v>46287.4900462963</v>
      </c>
      <c r="M353" s="18">
        <v>46287.49005787037</v>
      </c>
      <c r="N353" s="11" t="s">
        <v>63</v>
      </c>
      <c r="O353" s="11">
        <v>0.0</v>
      </c>
      <c r="P353" s="11" t="s">
        <v>1836</v>
      </c>
      <c r="Q353" s="11" t="s">
        <v>2681</v>
      </c>
      <c r="R353" s="11"/>
      <c r="S353" s="11" t="s">
        <v>2682</v>
      </c>
      <c r="T353" s="11"/>
      <c r="U353" s="11" t="s">
        <v>2747</v>
      </c>
      <c r="V353" s="11" t="s">
        <v>2410</v>
      </c>
      <c r="W353" s="11">
        <v>5101.0</v>
      </c>
      <c r="X353" s="11" t="s">
        <v>69</v>
      </c>
      <c r="Y353" s="11" t="s">
        <v>2683</v>
      </c>
      <c r="Z353" s="11">
        <v>3.512339481E9</v>
      </c>
      <c r="AA353" s="11" t="s">
        <v>2748</v>
      </c>
      <c r="AB353" s="11"/>
      <c r="AC353" s="11"/>
      <c r="AD353" s="11"/>
      <c r="AE353" s="11" t="s">
        <v>2749</v>
      </c>
      <c r="AF353" s="11" t="s">
        <v>2750</v>
      </c>
      <c r="AG353" s="18">
        <v>46287.6150462963</v>
      </c>
      <c r="AH353" s="18">
        <v>46287.61505787037</v>
      </c>
      <c r="AI353" s="11"/>
      <c r="AJ353" s="11"/>
      <c r="AK353" s="11">
        <v>18253.0</v>
      </c>
      <c r="AL353" s="21" t="s">
        <v>1423</v>
      </c>
      <c r="AM353" s="16" t="s">
        <v>1426</v>
      </c>
      <c r="AN353" s="14" t="s">
        <v>39</v>
      </c>
      <c r="AO353" s="23" t="s">
        <v>2751</v>
      </c>
      <c r="AP353" s="16" t="s">
        <v>76</v>
      </c>
      <c r="AQ353" s="16">
        <v>3339.0</v>
      </c>
      <c r="AR353" s="16"/>
      <c r="AS353" s="11" t="s">
        <v>2686</v>
      </c>
      <c r="AT353" s="11" t="s">
        <v>2752</v>
      </c>
      <c r="AU353" s="11" t="s">
        <v>2688</v>
      </c>
      <c r="AV353" s="11">
        <v>5.6138076E7</v>
      </c>
      <c r="AW353" s="11" t="s">
        <v>79</v>
      </c>
      <c r="AX353" s="11">
        <v>3.512339481E9</v>
      </c>
      <c r="AY353" s="11" t="s">
        <v>2683</v>
      </c>
      <c r="AZ353" s="24">
        <v>42807.0</v>
      </c>
      <c r="BA353" s="11" t="s">
        <v>252</v>
      </c>
      <c r="BB353" s="11" t="s">
        <v>81</v>
      </c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</row>
    <row r="354" ht="19.5" customHeight="1">
      <c r="A354" s="10" t="b">
        <v>0</v>
      </c>
      <c r="B354" s="11"/>
      <c r="C354" s="13" t="s">
        <v>60</v>
      </c>
      <c r="D354" s="14" t="s">
        <v>60</v>
      </c>
      <c r="E354" s="11"/>
      <c r="F354" s="15" t="s">
        <v>4</v>
      </c>
      <c r="G354" s="16">
        <v>532.0</v>
      </c>
      <c r="H354" s="16"/>
      <c r="I354" s="16">
        <v>47258.0</v>
      </c>
      <c r="J354" s="11" t="s">
        <v>61</v>
      </c>
      <c r="K354" s="11" t="s">
        <v>62</v>
      </c>
      <c r="L354" s="18">
        <v>46287.49228009259</v>
      </c>
      <c r="M354" s="18">
        <v>46287.49229166667</v>
      </c>
      <c r="N354" s="11" t="s">
        <v>63</v>
      </c>
      <c r="O354" s="11">
        <v>0.0</v>
      </c>
      <c r="P354" s="11" t="s">
        <v>1978</v>
      </c>
      <c r="Q354" s="11" t="s">
        <v>2753</v>
      </c>
      <c r="R354" s="11"/>
      <c r="S354" s="11" t="s">
        <v>2754</v>
      </c>
      <c r="T354" s="29">
        <v>0.16666666666666666</v>
      </c>
      <c r="U354" s="11" t="s">
        <v>316</v>
      </c>
      <c r="V354" s="11" t="s">
        <v>68</v>
      </c>
      <c r="W354" s="11">
        <v>2800.0</v>
      </c>
      <c r="X354" s="11" t="s">
        <v>69</v>
      </c>
      <c r="Y354" s="11" t="s">
        <v>2755</v>
      </c>
      <c r="Z354" s="11">
        <v>5.4348729198E11</v>
      </c>
      <c r="AA354" s="11" t="s">
        <v>645</v>
      </c>
      <c r="AB354" s="11"/>
      <c r="AC354" s="11"/>
      <c r="AD354" s="11"/>
      <c r="AE354" s="11" t="s">
        <v>2756</v>
      </c>
      <c r="AF354" s="11" t="s">
        <v>2757</v>
      </c>
      <c r="AG354" s="18">
        <v>46287.61728009259</v>
      </c>
      <c r="AH354" s="18">
        <v>46287.61729166667</v>
      </c>
      <c r="AI354" s="11"/>
      <c r="AJ354" s="11"/>
      <c r="AK354" s="11">
        <v>18253.0</v>
      </c>
      <c r="AL354" s="21" t="s">
        <v>1423</v>
      </c>
      <c r="AM354" s="16"/>
      <c r="AN354" s="14" t="s">
        <v>39</v>
      </c>
      <c r="AO354" s="23"/>
      <c r="AP354" s="16" t="s">
        <v>76</v>
      </c>
      <c r="AQ354" s="16">
        <v>3819.0</v>
      </c>
      <c r="AR354" s="16"/>
      <c r="AS354" s="11" t="s">
        <v>321</v>
      </c>
      <c r="AT354" s="11" t="s">
        <v>1780</v>
      </c>
      <c r="AU354" s="11" t="s">
        <v>2758</v>
      </c>
      <c r="AV354" s="11">
        <v>5.297709E7</v>
      </c>
      <c r="AW354" s="11" t="s">
        <v>79</v>
      </c>
      <c r="AX354" s="11">
        <v>3.48729198E9</v>
      </c>
      <c r="AY354" s="11" t="s">
        <v>2755</v>
      </c>
      <c r="AZ354" s="31">
        <v>41311.0</v>
      </c>
      <c r="BA354" s="11" t="s">
        <v>144</v>
      </c>
      <c r="BB354" s="11" t="s">
        <v>101</v>
      </c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</row>
    <row r="355" ht="19.5" customHeight="1">
      <c r="A355" s="10" t="b">
        <v>0</v>
      </c>
      <c r="B355" s="11"/>
      <c r="C355" s="13" t="s">
        <v>60</v>
      </c>
      <c r="D355" s="14" t="s">
        <v>60</v>
      </c>
      <c r="E355" s="11"/>
      <c r="F355" s="15" t="s">
        <v>4</v>
      </c>
      <c r="G355" s="16">
        <v>533.0</v>
      </c>
      <c r="H355" s="16"/>
      <c r="I355" s="16">
        <v>47259.0</v>
      </c>
      <c r="J355" s="11" t="s">
        <v>61</v>
      </c>
      <c r="K355" s="11" t="s">
        <v>62</v>
      </c>
      <c r="L355" s="18">
        <v>46287.508206018516</v>
      </c>
      <c r="M355" s="18">
        <v>46287.508263888885</v>
      </c>
      <c r="N355" s="11" t="s">
        <v>63</v>
      </c>
      <c r="O355" s="11">
        <v>0.0</v>
      </c>
      <c r="P355" s="11" t="s">
        <v>603</v>
      </c>
      <c r="Q355" s="11" t="s">
        <v>2759</v>
      </c>
      <c r="R355" s="11"/>
      <c r="S355" s="11" t="s">
        <v>2760</v>
      </c>
      <c r="T355" s="11"/>
      <c r="U355" s="11" t="s">
        <v>913</v>
      </c>
      <c r="V355" s="11" t="s">
        <v>68</v>
      </c>
      <c r="W355" s="11">
        <v>1643.0</v>
      </c>
      <c r="X355" s="11" t="s">
        <v>69</v>
      </c>
      <c r="Y355" s="11" t="s">
        <v>2761</v>
      </c>
      <c r="Z355" s="11">
        <v>1.150158275E9</v>
      </c>
      <c r="AA355" s="11" t="s">
        <v>71</v>
      </c>
      <c r="AB355" s="11"/>
      <c r="AC355" s="11"/>
      <c r="AD355" s="11"/>
      <c r="AE355" s="11" t="s">
        <v>2762</v>
      </c>
      <c r="AF355" s="11" t="s">
        <v>2763</v>
      </c>
      <c r="AG355" s="18">
        <v>46287.633206018516</v>
      </c>
      <c r="AH355" s="18">
        <v>46287.633263888885</v>
      </c>
      <c r="AI355" s="11"/>
      <c r="AJ355" s="11"/>
      <c r="AK355" s="11">
        <v>18253.0</v>
      </c>
      <c r="AL355" s="21" t="s">
        <v>1423</v>
      </c>
      <c r="AM355" s="16"/>
      <c r="AN355" s="14" t="s">
        <v>39</v>
      </c>
      <c r="AO355" s="23">
        <v>4108.0</v>
      </c>
      <c r="AP355" s="16" t="s">
        <v>76</v>
      </c>
      <c r="AQ355" s="16">
        <v>4108.0</v>
      </c>
      <c r="AR355" s="16"/>
      <c r="AS355" s="11" t="s">
        <v>2566</v>
      </c>
      <c r="AT355" s="11" t="s">
        <v>2764</v>
      </c>
      <c r="AU355" s="11" t="s">
        <v>2759</v>
      </c>
      <c r="AV355" s="11">
        <v>5.1253143E7</v>
      </c>
      <c r="AW355" s="11" t="s">
        <v>79</v>
      </c>
      <c r="AX355" s="11">
        <v>1.150158275E9</v>
      </c>
      <c r="AY355" s="11" t="s">
        <v>2761</v>
      </c>
      <c r="AZ355" s="31">
        <v>40775.0</v>
      </c>
      <c r="BA355" s="11" t="s">
        <v>144</v>
      </c>
      <c r="BB355" s="11" t="s">
        <v>81</v>
      </c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</row>
    <row r="356" ht="19.5" customHeight="1">
      <c r="A356" s="10" t="b">
        <v>0</v>
      </c>
      <c r="B356" s="11"/>
      <c r="C356" s="13" t="s">
        <v>60</v>
      </c>
      <c r="D356" s="14" t="s">
        <v>60</v>
      </c>
      <c r="E356" s="11"/>
      <c r="F356" s="15" t="s">
        <v>4</v>
      </c>
      <c r="G356" s="16">
        <v>537.0</v>
      </c>
      <c r="H356" s="16"/>
      <c r="I356" s="16">
        <v>47263.0</v>
      </c>
      <c r="J356" s="11" t="s">
        <v>61</v>
      </c>
      <c r="K356" s="11" t="s">
        <v>62</v>
      </c>
      <c r="L356" s="18">
        <v>46287.52821759259</v>
      </c>
      <c r="M356" s="18">
        <v>46287.52846064815</v>
      </c>
      <c r="N356" s="11" t="s">
        <v>63</v>
      </c>
      <c r="O356" s="11">
        <v>0.0</v>
      </c>
      <c r="P356" s="11" t="s">
        <v>727</v>
      </c>
      <c r="Q356" s="11" t="s">
        <v>2765</v>
      </c>
      <c r="R356" s="11"/>
      <c r="S356" s="11" t="s">
        <v>2766</v>
      </c>
      <c r="T356" s="11"/>
      <c r="U356" s="11" t="s">
        <v>137</v>
      </c>
      <c r="V356" s="11" t="s">
        <v>68</v>
      </c>
      <c r="W356" s="11">
        <v>1643.0</v>
      </c>
      <c r="X356" s="11" t="s">
        <v>69</v>
      </c>
      <c r="Y356" s="11" t="s">
        <v>2767</v>
      </c>
      <c r="Z356" s="11">
        <v>5.4587916E7</v>
      </c>
      <c r="AA356" s="11" t="s">
        <v>71</v>
      </c>
      <c r="AB356" s="11"/>
      <c r="AC356" s="11"/>
      <c r="AD356" s="18">
        <v>46287.52846064815</v>
      </c>
      <c r="AE356" s="11" t="s">
        <v>2768</v>
      </c>
      <c r="AF356" s="11" t="s">
        <v>2769</v>
      </c>
      <c r="AG356" s="18">
        <v>46287.65321759259</v>
      </c>
      <c r="AH356" s="18">
        <v>46287.65346064815</v>
      </c>
      <c r="AI356" s="11"/>
      <c r="AJ356" s="18">
        <v>46287.65346064815</v>
      </c>
      <c r="AK356" s="11">
        <v>18253.0</v>
      </c>
      <c r="AL356" s="21" t="s">
        <v>1423</v>
      </c>
      <c r="AM356" s="16"/>
      <c r="AN356" s="16"/>
      <c r="AO356" s="23" t="s">
        <v>2770</v>
      </c>
      <c r="AP356" s="16" t="s">
        <v>76</v>
      </c>
      <c r="AQ356" s="16">
        <v>4057.0</v>
      </c>
      <c r="AR356" s="16"/>
      <c r="AS356" s="11" t="s">
        <v>1811</v>
      </c>
      <c r="AT356" s="11" t="s">
        <v>2771</v>
      </c>
      <c r="AU356" s="11" t="s">
        <v>2765</v>
      </c>
      <c r="AV356" s="11">
        <v>5.1572732E7</v>
      </c>
      <c r="AW356" s="11" t="s">
        <v>99</v>
      </c>
      <c r="AX356" s="11">
        <v>5.491124094099E12</v>
      </c>
      <c r="AY356" s="11" t="s">
        <v>2767</v>
      </c>
      <c r="AZ356" s="30">
        <v>40719.0</v>
      </c>
      <c r="BA356" s="11" t="s">
        <v>1359</v>
      </c>
      <c r="BB356" s="11" t="s">
        <v>81</v>
      </c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</row>
    <row r="357" ht="19.5" customHeight="1">
      <c r="A357" s="10" t="b">
        <v>0</v>
      </c>
      <c r="B357" s="11"/>
      <c r="C357" s="13" t="s">
        <v>59</v>
      </c>
      <c r="D357" s="14" t="s">
        <v>60</v>
      </c>
      <c r="E357" s="11"/>
      <c r="F357" s="15" t="s">
        <v>4</v>
      </c>
      <c r="G357" s="16">
        <v>539.0</v>
      </c>
      <c r="H357" s="16"/>
      <c r="I357" s="16">
        <v>47265.0</v>
      </c>
      <c r="J357" s="11" t="s">
        <v>61</v>
      </c>
      <c r="K357" s="11" t="s">
        <v>62</v>
      </c>
      <c r="L357" s="18">
        <v>46287.533425925925</v>
      </c>
      <c r="M357" s="18">
        <v>46287.533472222225</v>
      </c>
      <c r="N357" s="11" t="s">
        <v>63</v>
      </c>
      <c r="O357" s="11">
        <v>0.0</v>
      </c>
      <c r="P357" s="11" t="s">
        <v>2772</v>
      </c>
      <c r="Q357" s="11" t="s">
        <v>2773</v>
      </c>
      <c r="R357" s="11"/>
      <c r="S357" s="11" t="s">
        <v>2774</v>
      </c>
      <c r="T357" s="11"/>
      <c r="U357" s="11" t="s">
        <v>2400</v>
      </c>
      <c r="V357" s="11" t="s">
        <v>68</v>
      </c>
      <c r="W357" s="11">
        <v>1636.0</v>
      </c>
      <c r="X357" s="11" t="s">
        <v>69</v>
      </c>
      <c r="Y357" s="11" t="s">
        <v>2775</v>
      </c>
      <c r="Z357" s="11">
        <v>5.491167666994E12</v>
      </c>
      <c r="AA357" s="11" t="s">
        <v>71</v>
      </c>
      <c r="AB357" s="11"/>
      <c r="AC357" s="11"/>
      <c r="AD357" s="11"/>
      <c r="AE357" s="11" t="s">
        <v>2776</v>
      </c>
      <c r="AF357" s="11" t="s">
        <v>2777</v>
      </c>
      <c r="AG357" s="18">
        <v>46287.658425925925</v>
      </c>
      <c r="AH357" s="18">
        <v>46287.658472222225</v>
      </c>
      <c r="AI357" s="11"/>
      <c r="AJ357" s="11"/>
      <c r="AK357" s="11">
        <v>18253.0</v>
      </c>
      <c r="AL357" s="21" t="s">
        <v>1423</v>
      </c>
      <c r="AM357" s="16"/>
      <c r="AN357" s="16"/>
      <c r="AO357" s="23"/>
      <c r="AP357" s="16" t="s">
        <v>76</v>
      </c>
      <c r="AQ357" s="16">
        <v>3817.0</v>
      </c>
      <c r="AR357" s="16"/>
      <c r="AS357" s="11" t="s">
        <v>1068</v>
      </c>
      <c r="AT357" s="11" t="s">
        <v>134</v>
      </c>
      <c r="AU357" s="11" t="s">
        <v>2778</v>
      </c>
      <c r="AV357" s="11">
        <v>5.2164756E7</v>
      </c>
      <c r="AW357" s="11" t="s">
        <v>99</v>
      </c>
      <c r="AX357" s="11">
        <v>1.167666994E9</v>
      </c>
      <c r="AY357" s="11" t="s">
        <v>2775</v>
      </c>
      <c r="AZ357" s="24">
        <v>40952.0</v>
      </c>
      <c r="BA357" s="11" t="s">
        <v>100</v>
      </c>
      <c r="BB357" s="11" t="s">
        <v>101</v>
      </c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</row>
    <row r="358" ht="19.5" customHeight="1">
      <c r="A358" s="10" t="b">
        <v>0</v>
      </c>
      <c r="B358" s="11"/>
      <c r="C358" s="13" t="s">
        <v>59</v>
      </c>
      <c r="D358" s="14" t="s">
        <v>60</v>
      </c>
      <c r="E358" s="11"/>
      <c r="F358" s="15" t="s">
        <v>4</v>
      </c>
      <c r="G358" s="16">
        <v>545.0</v>
      </c>
      <c r="H358" s="16"/>
      <c r="I358" s="16">
        <v>47271.0</v>
      </c>
      <c r="J358" s="11" t="s">
        <v>402</v>
      </c>
      <c r="K358" s="11" t="s">
        <v>62</v>
      </c>
      <c r="L358" s="18">
        <v>46287.56487268519</v>
      </c>
      <c r="M358" s="18">
        <v>46287.56487268519</v>
      </c>
      <c r="N358" s="11" t="s">
        <v>63</v>
      </c>
      <c r="O358" s="11">
        <v>0.0</v>
      </c>
      <c r="P358" s="11" t="s">
        <v>2779</v>
      </c>
      <c r="Q358" s="11" t="s">
        <v>2780</v>
      </c>
      <c r="R358" s="11"/>
      <c r="S358" s="11" t="s">
        <v>2781</v>
      </c>
      <c r="T358" s="11">
        <v>4.0</v>
      </c>
      <c r="U358" s="11" t="s">
        <v>362</v>
      </c>
      <c r="V358" s="11" t="s">
        <v>126</v>
      </c>
      <c r="W358" s="11">
        <v>1117.0</v>
      </c>
      <c r="X358" s="11" t="s">
        <v>69</v>
      </c>
      <c r="Y358" s="11" t="s">
        <v>2782</v>
      </c>
      <c r="Z358" s="11">
        <v>1.164486728E9</v>
      </c>
      <c r="AA358" s="11" t="s">
        <v>645</v>
      </c>
      <c r="AB358" s="11"/>
      <c r="AC358" s="11"/>
      <c r="AD358" s="11"/>
      <c r="AE358" s="11" t="s">
        <v>408</v>
      </c>
      <c r="AF358" s="11" t="s">
        <v>2783</v>
      </c>
      <c r="AG358" s="18">
        <v>46287.68987268519</v>
      </c>
      <c r="AH358" s="18">
        <v>46287.68987268519</v>
      </c>
      <c r="AI358" s="11"/>
      <c r="AJ358" s="11"/>
      <c r="AK358" s="11">
        <v>18253.0</v>
      </c>
      <c r="AL358" s="21" t="s">
        <v>1423</v>
      </c>
      <c r="AM358" s="16"/>
      <c r="AN358" s="14" t="s">
        <v>39</v>
      </c>
      <c r="AO358" s="23"/>
      <c r="AP358" s="16" t="s">
        <v>76</v>
      </c>
      <c r="AQ358" s="16">
        <v>4179.0</v>
      </c>
      <c r="AR358" s="16"/>
      <c r="AS358" s="11" t="s">
        <v>197</v>
      </c>
      <c r="AT358" s="11" t="s">
        <v>2473</v>
      </c>
      <c r="AU358" s="11" t="s">
        <v>2780</v>
      </c>
      <c r="AV358" s="11">
        <v>5.1125913E7</v>
      </c>
      <c r="AW358" s="11" t="s">
        <v>79</v>
      </c>
      <c r="AX358" s="11">
        <v>1.164486728E9</v>
      </c>
      <c r="AY358" s="11" t="s">
        <v>2782</v>
      </c>
      <c r="AZ358" s="31">
        <v>40619.0</v>
      </c>
      <c r="BA358" s="11" t="s">
        <v>2784</v>
      </c>
      <c r="BB358" s="11" t="s">
        <v>349</v>
      </c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</row>
    <row r="359" ht="19.5" customHeight="1">
      <c r="A359" s="10" t="b">
        <v>0</v>
      </c>
      <c r="B359" s="11"/>
      <c r="C359" s="13" t="s">
        <v>60</v>
      </c>
      <c r="D359" s="14" t="s">
        <v>60</v>
      </c>
      <c r="E359" s="11"/>
      <c r="F359" s="15" t="s">
        <v>4</v>
      </c>
      <c r="G359" s="16">
        <v>552.0</v>
      </c>
      <c r="H359" s="16"/>
      <c r="I359" s="16">
        <v>47278.0</v>
      </c>
      <c r="J359" s="11" t="s">
        <v>61</v>
      </c>
      <c r="K359" s="11" t="s">
        <v>62</v>
      </c>
      <c r="L359" s="18">
        <v>46287.5799537037</v>
      </c>
      <c r="M359" s="18">
        <v>46287.58</v>
      </c>
      <c r="N359" s="11" t="s">
        <v>63</v>
      </c>
      <c r="O359" s="11">
        <v>0.0</v>
      </c>
      <c r="P359" s="11" t="s">
        <v>2396</v>
      </c>
      <c r="Q359" s="11" t="s">
        <v>2785</v>
      </c>
      <c r="R359" s="11"/>
      <c r="S359" s="11" t="s">
        <v>2786</v>
      </c>
      <c r="T359" s="11" t="s">
        <v>2787</v>
      </c>
      <c r="U359" s="11" t="s">
        <v>2788</v>
      </c>
      <c r="V359" s="11" t="s">
        <v>126</v>
      </c>
      <c r="W359" s="11">
        <v>1428.0</v>
      </c>
      <c r="X359" s="11" t="s">
        <v>69</v>
      </c>
      <c r="Y359" s="11" t="s">
        <v>2789</v>
      </c>
      <c r="Z359" s="11">
        <v>1.552210801E9</v>
      </c>
      <c r="AA359" s="11" t="s">
        <v>71</v>
      </c>
      <c r="AB359" s="11"/>
      <c r="AC359" s="11"/>
      <c r="AD359" s="18">
        <v>46287.58</v>
      </c>
      <c r="AE359" s="11" t="s">
        <v>2790</v>
      </c>
      <c r="AF359" s="11" t="s">
        <v>2791</v>
      </c>
      <c r="AG359" s="18">
        <v>46287.7049537037</v>
      </c>
      <c r="AH359" s="18">
        <v>46287.705</v>
      </c>
      <c r="AI359" s="11"/>
      <c r="AJ359" s="18">
        <v>46287.705</v>
      </c>
      <c r="AK359" s="11">
        <v>18253.0</v>
      </c>
      <c r="AL359" s="21" t="s">
        <v>1423</v>
      </c>
      <c r="AM359" s="16"/>
      <c r="AN359" s="14" t="s">
        <v>39</v>
      </c>
      <c r="AO359" s="23"/>
      <c r="AP359" s="16" t="s">
        <v>76</v>
      </c>
      <c r="AQ359" s="16">
        <v>4126.0</v>
      </c>
      <c r="AR359" s="16"/>
      <c r="AS359" s="11" t="s">
        <v>97</v>
      </c>
      <c r="AT359" s="11" t="s">
        <v>2792</v>
      </c>
      <c r="AU359" s="11" t="s">
        <v>2793</v>
      </c>
      <c r="AV359" s="11">
        <v>5.4383455E7</v>
      </c>
      <c r="AW359" s="11" t="s">
        <v>79</v>
      </c>
      <c r="AX359" s="11">
        <v>1.152210801E9</v>
      </c>
      <c r="AY359" s="11" t="s">
        <v>2789</v>
      </c>
      <c r="AZ359" s="24">
        <v>41935.0</v>
      </c>
      <c r="BA359" s="11" t="s">
        <v>100</v>
      </c>
      <c r="BB359" s="11" t="s">
        <v>81</v>
      </c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</row>
    <row r="360" ht="19.5" customHeight="1">
      <c r="A360" s="10" t="b">
        <v>0</v>
      </c>
      <c r="B360" s="11"/>
      <c r="C360" s="13" t="s">
        <v>60</v>
      </c>
      <c r="D360" s="14" t="s">
        <v>60</v>
      </c>
      <c r="E360" s="11"/>
      <c r="F360" s="15" t="s">
        <v>4</v>
      </c>
      <c r="G360" s="16">
        <v>558.0</v>
      </c>
      <c r="H360" s="16"/>
      <c r="I360" s="16">
        <v>47284.0</v>
      </c>
      <c r="J360" s="11" t="s">
        <v>61</v>
      </c>
      <c r="K360" s="11" t="s">
        <v>62</v>
      </c>
      <c r="L360" s="18">
        <v>46287.60115740741</v>
      </c>
      <c r="M360" s="18">
        <v>46287.60120370371</v>
      </c>
      <c r="N360" s="11" t="s">
        <v>63</v>
      </c>
      <c r="O360" s="11">
        <v>0.0</v>
      </c>
      <c r="P360" s="11" t="s">
        <v>498</v>
      </c>
      <c r="Q360" s="11" t="s">
        <v>2794</v>
      </c>
      <c r="R360" s="11"/>
      <c r="S360" s="11" t="s">
        <v>2795</v>
      </c>
      <c r="T360" s="11"/>
      <c r="U360" s="11">
        <v>4175.0</v>
      </c>
      <c r="V360" s="11" t="s">
        <v>68</v>
      </c>
      <c r="W360" s="11">
        <v>1617.0</v>
      </c>
      <c r="X360" s="11" t="s">
        <v>69</v>
      </c>
      <c r="Y360" s="11" t="s">
        <v>2796</v>
      </c>
      <c r="Z360" s="11">
        <v>1.149365363E9</v>
      </c>
      <c r="AA360" s="11" t="s">
        <v>71</v>
      </c>
      <c r="AB360" s="11"/>
      <c r="AC360" s="11"/>
      <c r="AD360" s="18">
        <v>46287.60120370371</v>
      </c>
      <c r="AE360" s="11" t="s">
        <v>2797</v>
      </c>
      <c r="AF360" s="11" t="s">
        <v>2798</v>
      </c>
      <c r="AG360" s="18">
        <v>46287.72615740741</v>
      </c>
      <c r="AH360" s="18">
        <v>46287.72620370371</v>
      </c>
      <c r="AI360" s="11"/>
      <c r="AJ360" s="18">
        <v>46287.72620370371</v>
      </c>
      <c r="AK360" s="11">
        <v>18253.0</v>
      </c>
      <c r="AL360" s="21" t="s">
        <v>1423</v>
      </c>
      <c r="AM360" s="16"/>
      <c r="AN360" s="16"/>
      <c r="AO360" s="23"/>
      <c r="AP360" s="16" t="s">
        <v>76</v>
      </c>
      <c r="AQ360" s="16">
        <v>4271.0</v>
      </c>
      <c r="AR360" s="16"/>
      <c r="AS360" s="11" t="s">
        <v>251</v>
      </c>
      <c r="AT360" s="11" t="s">
        <v>1848</v>
      </c>
      <c r="AU360" s="11" t="s">
        <v>2794</v>
      </c>
      <c r="AV360" s="11">
        <v>5.3878557E7</v>
      </c>
      <c r="AW360" s="11" t="s">
        <v>99</v>
      </c>
      <c r="AX360" s="11">
        <v>1.149365363E9</v>
      </c>
      <c r="AY360" s="11" t="s">
        <v>2796</v>
      </c>
      <c r="AZ360" s="31">
        <v>41728.0</v>
      </c>
      <c r="BA360" s="11" t="s">
        <v>252</v>
      </c>
      <c r="BB360" s="11" t="s">
        <v>349</v>
      </c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</row>
    <row r="361" ht="19.5" customHeight="1">
      <c r="A361" s="10" t="b">
        <v>0</v>
      </c>
      <c r="B361" s="11"/>
      <c r="C361" s="13" t="s">
        <v>59</v>
      </c>
      <c r="D361" s="14" t="s">
        <v>60</v>
      </c>
      <c r="E361" s="11"/>
      <c r="F361" s="15" t="s">
        <v>4</v>
      </c>
      <c r="G361" s="16">
        <v>563.0</v>
      </c>
      <c r="H361" s="16"/>
      <c r="I361" s="16">
        <v>47289.0</v>
      </c>
      <c r="J361" s="11" t="s">
        <v>61</v>
      </c>
      <c r="K361" s="11" t="s">
        <v>62</v>
      </c>
      <c r="L361" s="18">
        <v>46287.62432870371</v>
      </c>
      <c r="M361" s="18">
        <v>46287.62440972222</v>
      </c>
      <c r="N361" s="11" t="s">
        <v>63</v>
      </c>
      <c r="O361" s="11">
        <v>0.0</v>
      </c>
      <c r="P361" s="11" t="s">
        <v>1281</v>
      </c>
      <c r="Q361" s="11" t="s">
        <v>1282</v>
      </c>
      <c r="R361" s="11"/>
      <c r="S361" s="11" t="s">
        <v>1283</v>
      </c>
      <c r="T361" s="11"/>
      <c r="U361" s="11" t="s">
        <v>1284</v>
      </c>
      <c r="V361" s="11" t="s">
        <v>68</v>
      </c>
      <c r="W361" s="11">
        <v>2930.0</v>
      </c>
      <c r="X361" s="11" t="s">
        <v>69</v>
      </c>
      <c r="Y361" s="11" t="s">
        <v>1285</v>
      </c>
      <c r="Z361" s="11">
        <v>3.329669841E9</v>
      </c>
      <c r="AA361" s="11" t="s">
        <v>71</v>
      </c>
      <c r="AB361" s="11"/>
      <c r="AC361" s="11"/>
      <c r="AD361" s="18">
        <v>46287.62440972222</v>
      </c>
      <c r="AE361" s="11" t="s">
        <v>2799</v>
      </c>
      <c r="AF361" s="11" t="s">
        <v>2800</v>
      </c>
      <c r="AG361" s="18">
        <v>46287.74932870371</v>
      </c>
      <c r="AH361" s="18">
        <v>46287.74940972222</v>
      </c>
      <c r="AI361" s="11"/>
      <c r="AJ361" s="18">
        <v>46287.74940972222</v>
      </c>
      <c r="AK361" s="11">
        <v>18253.0</v>
      </c>
      <c r="AL361" s="21" t="s">
        <v>1423</v>
      </c>
      <c r="AM361" s="16"/>
      <c r="AN361" s="14" t="s">
        <v>39</v>
      </c>
      <c r="AO361" s="23"/>
      <c r="AP361" s="16" t="s">
        <v>76</v>
      </c>
      <c r="AQ361" s="16">
        <v>4297.0</v>
      </c>
      <c r="AR361" s="16"/>
      <c r="AS361" s="11" t="s">
        <v>218</v>
      </c>
      <c r="AT361" s="11" t="s">
        <v>2318</v>
      </c>
      <c r="AU361" s="11" t="s">
        <v>1289</v>
      </c>
      <c r="AV361" s="11">
        <v>5.4124225E7</v>
      </c>
      <c r="AW361" s="11" t="s">
        <v>79</v>
      </c>
      <c r="AX361" s="11">
        <v>3.329669841E9</v>
      </c>
      <c r="AY361" s="11" t="s">
        <v>1285</v>
      </c>
      <c r="AZ361" s="24">
        <v>41838.0</v>
      </c>
      <c r="BA361" s="11" t="s">
        <v>1290</v>
      </c>
      <c r="BB361" s="11" t="s">
        <v>81</v>
      </c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</row>
    <row r="362" ht="19.5" customHeight="1">
      <c r="A362" s="10" t="b">
        <v>0</v>
      </c>
      <c r="B362" s="11"/>
      <c r="C362" s="13" t="s">
        <v>59</v>
      </c>
      <c r="D362" s="14" t="s">
        <v>60</v>
      </c>
      <c r="E362" s="11"/>
      <c r="F362" s="15" t="s">
        <v>4</v>
      </c>
      <c r="G362" s="16">
        <v>567.0</v>
      </c>
      <c r="H362" s="16"/>
      <c r="I362" s="16">
        <v>47293.0</v>
      </c>
      <c r="J362" s="11" t="s">
        <v>61</v>
      </c>
      <c r="K362" s="11" t="s">
        <v>62</v>
      </c>
      <c r="L362" s="18">
        <v>46287.62945601852</v>
      </c>
      <c r="M362" s="18">
        <v>46287.629525462966</v>
      </c>
      <c r="N362" s="11" t="s">
        <v>63</v>
      </c>
      <c r="O362" s="11">
        <v>0.0</v>
      </c>
      <c r="P362" s="11" t="s">
        <v>2801</v>
      </c>
      <c r="Q362" s="11" t="s">
        <v>2802</v>
      </c>
      <c r="R362" s="11"/>
      <c r="S362" s="11" t="s">
        <v>2803</v>
      </c>
      <c r="T362" s="11" t="s">
        <v>734</v>
      </c>
      <c r="U362" s="11" t="s">
        <v>493</v>
      </c>
      <c r="V362" s="11" t="s">
        <v>68</v>
      </c>
      <c r="W362" s="11">
        <v>1642.0</v>
      </c>
      <c r="X362" s="11" t="s">
        <v>69</v>
      </c>
      <c r="Y362" s="11" t="s">
        <v>2804</v>
      </c>
      <c r="Z362" s="11">
        <v>1.162446486E9</v>
      </c>
      <c r="AA362" s="11" t="s">
        <v>71</v>
      </c>
      <c r="AB362" s="11"/>
      <c r="AC362" s="11"/>
      <c r="AD362" s="18">
        <v>46287.629525462966</v>
      </c>
      <c r="AE362" s="11" t="s">
        <v>2805</v>
      </c>
      <c r="AF362" s="11" t="s">
        <v>2806</v>
      </c>
      <c r="AG362" s="18">
        <v>46287.75445601852</v>
      </c>
      <c r="AH362" s="18">
        <v>46287.754525462966</v>
      </c>
      <c r="AI362" s="11"/>
      <c r="AJ362" s="18">
        <v>46287.754525462966</v>
      </c>
      <c r="AK362" s="11">
        <v>18253.0</v>
      </c>
      <c r="AL362" s="21" t="s">
        <v>1423</v>
      </c>
      <c r="AM362" s="16"/>
      <c r="AN362" s="16"/>
      <c r="AO362" s="23"/>
      <c r="AP362" s="16" t="s">
        <v>76</v>
      </c>
      <c r="AQ362" s="16">
        <v>4111.0</v>
      </c>
      <c r="AR362" s="16"/>
      <c r="AS362" s="11" t="s">
        <v>251</v>
      </c>
      <c r="AT362" s="11" t="s">
        <v>603</v>
      </c>
      <c r="AU362" s="11" t="s">
        <v>2802</v>
      </c>
      <c r="AV362" s="11">
        <v>5.35933E7</v>
      </c>
      <c r="AW362" s="11" t="s">
        <v>99</v>
      </c>
      <c r="AX362" s="11">
        <v>1.162446486E9</v>
      </c>
      <c r="AY362" s="11" t="s">
        <v>2804</v>
      </c>
      <c r="AZ362" s="24">
        <v>41612.0</v>
      </c>
      <c r="BA362" s="11" t="s">
        <v>2807</v>
      </c>
      <c r="BB362" s="11" t="s">
        <v>81</v>
      </c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</row>
    <row r="363" ht="19.5" customHeight="1">
      <c r="A363" s="10" t="b">
        <v>0</v>
      </c>
      <c r="B363" s="11"/>
      <c r="C363" s="13" t="s">
        <v>60</v>
      </c>
      <c r="D363" s="14" t="s">
        <v>60</v>
      </c>
      <c r="E363" s="11"/>
      <c r="F363" s="15" t="s">
        <v>4</v>
      </c>
      <c r="G363" s="16">
        <v>572.0</v>
      </c>
      <c r="H363" s="16"/>
      <c r="I363" s="16">
        <v>47298.0</v>
      </c>
      <c r="J363" s="11" t="s">
        <v>61</v>
      </c>
      <c r="K363" s="11" t="s">
        <v>62</v>
      </c>
      <c r="L363" s="18">
        <v>46287.64618055556</v>
      </c>
      <c r="M363" s="18">
        <v>46287.64623842593</v>
      </c>
      <c r="N363" s="11" t="s">
        <v>63</v>
      </c>
      <c r="O363" s="11">
        <v>0.0</v>
      </c>
      <c r="P363" s="11" t="s">
        <v>1836</v>
      </c>
      <c r="Q363" s="11" t="s">
        <v>2808</v>
      </c>
      <c r="R363" s="11"/>
      <c r="S363" s="11" t="s">
        <v>2809</v>
      </c>
      <c r="T363" s="11"/>
      <c r="U363" s="11" t="s">
        <v>2810</v>
      </c>
      <c r="V363" s="11" t="s">
        <v>126</v>
      </c>
      <c r="W363" s="11">
        <v>1119.0</v>
      </c>
      <c r="X363" s="11" t="s">
        <v>69</v>
      </c>
      <c r="Y363" s="11" t="s">
        <v>2811</v>
      </c>
      <c r="Z363" s="11">
        <v>1.144264151E9</v>
      </c>
      <c r="AA363" s="11" t="s">
        <v>71</v>
      </c>
      <c r="AB363" s="11"/>
      <c r="AC363" s="11"/>
      <c r="AD363" s="18">
        <v>46287.64623842593</v>
      </c>
      <c r="AE363" s="11" t="s">
        <v>2812</v>
      </c>
      <c r="AF363" s="11" t="s">
        <v>2813</v>
      </c>
      <c r="AG363" s="18">
        <v>46287.77118055556</v>
      </c>
      <c r="AH363" s="18">
        <v>46287.77123842593</v>
      </c>
      <c r="AI363" s="11"/>
      <c r="AJ363" s="18">
        <v>46287.77123842593</v>
      </c>
      <c r="AK363" s="11">
        <v>18253.0</v>
      </c>
      <c r="AL363" s="21" t="s">
        <v>1423</v>
      </c>
      <c r="AM363" s="16"/>
      <c r="AN363" s="16"/>
      <c r="AO363" s="23">
        <v>3771.0</v>
      </c>
      <c r="AP363" s="16" t="s">
        <v>76</v>
      </c>
      <c r="AQ363" s="16">
        <v>3771.0</v>
      </c>
      <c r="AR363" s="16"/>
      <c r="AS363" s="11" t="s">
        <v>197</v>
      </c>
      <c r="AT363" s="11" t="s">
        <v>86</v>
      </c>
      <c r="AU363" s="11" t="s">
        <v>2814</v>
      </c>
      <c r="AV363" s="11">
        <v>5.3479768E7</v>
      </c>
      <c r="AW363" s="11" t="s">
        <v>99</v>
      </c>
      <c r="AX363" s="11">
        <v>1.144264151E9</v>
      </c>
      <c r="AY363" s="11" t="s">
        <v>2811</v>
      </c>
      <c r="AZ363" s="24">
        <v>41546.0</v>
      </c>
      <c r="BA363" s="11" t="s">
        <v>144</v>
      </c>
      <c r="BB363" s="11" t="s">
        <v>101</v>
      </c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</row>
    <row r="364" ht="19.5" customHeight="1">
      <c r="A364" s="10" t="b">
        <v>0</v>
      </c>
      <c r="B364" s="11"/>
      <c r="C364" s="13" t="s">
        <v>60</v>
      </c>
      <c r="D364" s="14" t="s">
        <v>60</v>
      </c>
      <c r="E364" s="11"/>
      <c r="F364" s="15" t="s">
        <v>4</v>
      </c>
      <c r="G364" s="16">
        <v>580.0</v>
      </c>
      <c r="H364" s="16"/>
      <c r="I364" s="16">
        <v>47306.0</v>
      </c>
      <c r="J364" s="11" t="s">
        <v>402</v>
      </c>
      <c r="K364" s="11" t="s">
        <v>62</v>
      </c>
      <c r="L364" s="18">
        <v>46287.681122685186</v>
      </c>
      <c r="M364" s="18">
        <v>46287.681122685186</v>
      </c>
      <c r="N364" s="11" t="s">
        <v>63</v>
      </c>
      <c r="O364" s="11">
        <v>0.0</v>
      </c>
      <c r="P364" s="11" t="s">
        <v>1247</v>
      </c>
      <c r="Q364" s="11" t="s">
        <v>2815</v>
      </c>
      <c r="R364" s="11"/>
      <c r="S364" s="11" t="s">
        <v>2816</v>
      </c>
      <c r="T364" s="11"/>
      <c r="U364" s="11" t="s">
        <v>316</v>
      </c>
      <c r="V364" s="11" t="s">
        <v>68</v>
      </c>
      <c r="W364" s="11">
        <v>2800.0</v>
      </c>
      <c r="X364" s="11" t="s">
        <v>69</v>
      </c>
      <c r="Y364" s="11" t="s">
        <v>2817</v>
      </c>
      <c r="Z364" s="11">
        <v>5.43487664811E11</v>
      </c>
      <c r="AA364" s="11" t="s">
        <v>71</v>
      </c>
      <c r="AB364" s="11"/>
      <c r="AC364" s="11"/>
      <c r="AD364" s="11"/>
      <c r="AE364" s="11" t="s">
        <v>408</v>
      </c>
      <c r="AF364" s="11" t="s">
        <v>2818</v>
      </c>
      <c r="AG364" s="18">
        <v>46287.806122685186</v>
      </c>
      <c r="AH364" s="18">
        <v>46287.806122685186</v>
      </c>
      <c r="AI364" s="11"/>
      <c r="AJ364" s="11"/>
      <c r="AK364" s="11">
        <v>18253.0</v>
      </c>
      <c r="AL364" s="21" t="s">
        <v>1423</v>
      </c>
      <c r="AM364" s="16"/>
      <c r="AN364" s="14" t="s">
        <v>39</v>
      </c>
      <c r="AO364" s="23"/>
      <c r="AP364" s="16" t="s">
        <v>76</v>
      </c>
      <c r="AQ364" s="16">
        <v>4292.0</v>
      </c>
      <c r="AR364" s="16"/>
      <c r="AS364" s="11" t="s">
        <v>321</v>
      </c>
      <c r="AT364" s="11" t="s">
        <v>2819</v>
      </c>
      <c r="AU364" s="11" t="s">
        <v>2068</v>
      </c>
      <c r="AV364" s="11">
        <v>5.1339867E7</v>
      </c>
      <c r="AW364" s="11" t="s">
        <v>79</v>
      </c>
      <c r="AX364" s="11">
        <v>3.487664811E9</v>
      </c>
      <c r="AY364" s="11" t="s">
        <v>2817</v>
      </c>
      <c r="AZ364" s="24">
        <v>40854.0</v>
      </c>
      <c r="BA364" s="11" t="s">
        <v>144</v>
      </c>
      <c r="BB364" s="11" t="s">
        <v>101</v>
      </c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</row>
    <row r="365" ht="19.5" customHeight="1">
      <c r="A365" s="10" t="b">
        <v>0</v>
      </c>
      <c r="B365" s="11"/>
      <c r="C365" s="13" t="s">
        <v>59</v>
      </c>
      <c r="D365" s="14" t="s">
        <v>60</v>
      </c>
      <c r="E365" s="11"/>
      <c r="F365" s="15" t="s">
        <v>4</v>
      </c>
      <c r="G365" s="16">
        <v>587.0</v>
      </c>
      <c r="H365" s="16"/>
      <c r="I365" s="16">
        <v>47313.0</v>
      </c>
      <c r="J365" s="11" t="s">
        <v>61</v>
      </c>
      <c r="K365" s="11" t="s">
        <v>62</v>
      </c>
      <c r="L365" s="18">
        <v>46287.69412037037</v>
      </c>
      <c r="M365" s="18">
        <v>46287.69417824074</v>
      </c>
      <c r="N365" s="11" t="s">
        <v>63</v>
      </c>
      <c r="O365" s="11">
        <v>0.0</v>
      </c>
      <c r="P365" s="11" t="s">
        <v>253</v>
      </c>
      <c r="Q365" s="11" t="s">
        <v>2820</v>
      </c>
      <c r="R365" s="11"/>
      <c r="S365" s="11" t="s">
        <v>2821</v>
      </c>
      <c r="T365" s="11"/>
      <c r="U365" s="11" t="s">
        <v>643</v>
      </c>
      <c r="V365" s="11" t="s">
        <v>101</v>
      </c>
      <c r="W365" s="11">
        <v>2000.0</v>
      </c>
      <c r="X365" s="11" t="s">
        <v>69</v>
      </c>
      <c r="Y365" s="11" t="s">
        <v>2822</v>
      </c>
      <c r="Z365" s="11">
        <v>3.413020651E9</v>
      </c>
      <c r="AA365" s="11" t="s">
        <v>71</v>
      </c>
      <c r="AB365" s="11"/>
      <c r="AC365" s="11"/>
      <c r="AD365" s="18">
        <v>46287.69417824074</v>
      </c>
      <c r="AE365" s="11" t="s">
        <v>2823</v>
      </c>
      <c r="AF365" s="11" t="s">
        <v>2824</v>
      </c>
      <c r="AG365" s="18">
        <v>46287.81912037037</v>
      </c>
      <c r="AH365" s="18">
        <v>46287.81917824074</v>
      </c>
      <c r="AI365" s="11"/>
      <c r="AJ365" s="18">
        <v>46287.81917824074</v>
      </c>
      <c r="AK365" s="11">
        <v>18253.0</v>
      </c>
      <c r="AL365" s="21" t="s">
        <v>1423</v>
      </c>
      <c r="AM365" s="16"/>
      <c r="AN365" s="16"/>
      <c r="AO365" s="23"/>
      <c r="AP365" s="16" t="s">
        <v>76</v>
      </c>
      <c r="AQ365" s="16">
        <v>4223.0</v>
      </c>
      <c r="AR365" s="16"/>
      <c r="AS365" s="11" t="s">
        <v>1936</v>
      </c>
      <c r="AT365" s="11" t="s">
        <v>690</v>
      </c>
      <c r="AU365" s="11" t="s">
        <v>2820</v>
      </c>
      <c r="AV365" s="11">
        <v>5.3799215E7</v>
      </c>
      <c r="AW365" s="11" t="s">
        <v>99</v>
      </c>
      <c r="AX365" s="11">
        <v>3.413020681E9</v>
      </c>
      <c r="AY365" s="11" t="s">
        <v>2822</v>
      </c>
      <c r="AZ365" s="31">
        <v>41658.0</v>
      </c>
      <c r="BA365" s="11" t="s">
        <v>252</v>
      </c>
      <c r="BB365" s="11" t="s">
        <v>81</v>
      </c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</row>
    <row r="366" ht="19.5" customHeight="1">
      <c r="A366" s="10" t="b">
        <v>0</v>
      </c>
      <c r="B366" s="11"/>
      <c r="C366" s="13" t="s">
        <v>60</v>
      </c>
      <c r="D366" s="14" t="s">
        <v>60</v>
      </c>
      <c r="E366" s="11"/>
      <c r="F366" s="15" t="s">
        <v>4</v>
      </c>
      <c r="G366" s="16">
        <v>603.0</v>
      </c>
      <c r="H366" s="16"/>
      <c r="I366" s="16">
        <v>47329.0</v>
      </c>
      <c r="J366" s="11" t="s">
        <v>61</v>
      </c>
      <c r="K366" s="11" t="s">
        <v>62</v>
      </c>
      <c r="L366" s="18">
        <v>46287.72665509259</v>
      </c>
      <c r="M366" s="18">
        <v>46287.72670138889</v>
      </c>
      <c r="N366" s="11" t="s">
        <v>63</v>
      </c>
      <c r="O366" s="11">
        <v>0.0</v>
      </c>
      <c r="P366" s="11" t="s">
        <v>243</v>
      </c>
      <c r="Q366" s="11" t="s">
        <v>2825</v>
      </c>
      <c r="R366" s="11"/>
      <c r="S366" s="11" t="s">
        <v>2826</v>
      </c>
      <c r="T366" s="11">
        <v>4.0</v>
      </c>
      <c r="U366" s="11" t="s">
        <v>1520</v>
      </c>
      <c r="V366" s="11" t="s">
        <v>126</v>
      </c>
      <c r="W366" s="11">
        <v>1013.0</v>
      </c>
      <c r="X366" s="11" t="s">
        <v>69</v>
      </c>
      <c r="Y366" s="11" t="s">
        <v>2827</v>
      </c>
      <c r="Z366" s="11">
        <v>1.132320696E9</v>
      </c>
      <c r="AA366" s="11" t="s">
        <v>71</v>
      </c>
      <c r="AB366" s="11"/>
      <c r="AC366" s="11"/>
      <c r="AD366" s="11"/>
      <c r="AE366" s="11" t="s">
        <v>2828</v>
      </c>
      <c r="AF366" s="11" t="s">
        <v>2829</v>
      </c>
      <c r="AG366" s="18">
        <v>46287.85165509259</v>
      </c>
      <c r="AH366" s="18">
        <v>46287.85170138889</v>
      </c>
      <c r="AI366" s="11"/>
      <c r="AJ366" s="11"/>
      <c r="AK366" s="11">
        <v>18253.0</v>
      </c>
      <c r="AL366" s="21" t="s">
        <v>1423</v>
      </c>
      <c r="AM366" s="16"/>
      <c r="AN366" s="14" t="s">
        <v>39</v>
      </c>
      <c r="AO366" s="23"/>
      <c r="AP366" s="16" t="s">
        <v>76</v>
      </c>
      <c r="AQ366" s="16">
        <v>4117.0</v>
      </c>
      <c r="AR366" s="16"/>
      <c r="AS366" s="11" t="s">
        <v>251</v>
      </c>
      <c r="AT366" s="11" t="s">
        <v>1865</v>
      </c>
      <c r="AU366" s="11" t="s">
        <v>2825</v>
      </c>
      <c r="AV366" s="11">
        <v>5.2164372E7</v>
      </c>
      <c r="AW366" s="11" t="s">
        <v>79</v>
      </c>
      <c r="AX366" s="11">
        <v>1.158987357E9</v>
      </c>
      <c r="AY366" s="11" t="s">
        <v>2830</v>
      </c>
      <c r="AZ366" s="24">
        <v>40962.0</v>
      </c>
      <c r="BA366" s="11" t="s">
        <v>144</v>
      </c>
      <c r="BB366" s="11" t="s">
        <v>1118</v>
      </c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</row>
    <row r="367" ht="19.5" customHeight="1">
      <c r="A367" s="10" t="b">
        <v>0</v>
      </c>
      <c r="B367" s="11"/>
      <c r="C367" s="13" t="s">
        <v>60</v>
      </c>
      <c r="D367" s="14" t="s">
        <v>60</v>
      </c>
      <c r="E367" s="11"/>
      <c r="F367" s="15" t="s">
        <v>4</v>
      </c>
      <c r="G367" s="16">
        <v>616.0</v>
      </c>
      <c r="H367" s="16"/>
      <c r="I367" s="16">
        <v>47343.0</v>
      </c>
      <c r="J367" s="11" t="s">
        <v>61</v>
      </c>
      <c r="K367" s="11" t="s">
        <v>62</v>
      </c>
      <c r="L367" s="18">
        <v>46287.74519675926</v>
      </c>
      <c r="M367" s="18">
        <v>46287.74524305556</v>
      </c>
      <c r="N367" s="11" t="s">
        <v>63</v>
      </c>
      <c r="O367" s="11">
        <v>0.0</v>
      </c>
      <c r="P367" s="11" t="s">
        <v>2831</v>
      </c>
      <c r="Q367" s="11" t="s">
        <v>2832</v>
      </c>
      <c r="R367" s="11"/>
      <c r="S367" s="11" t="s">
        <v>2833</v>
      </c>
      <c r="T367" s="11"/>
      <c r="U367" s="11" t="s">
        <v>493</v>
      </c>
      <c r="V367" s="11" t="s">
        <v>68</v>
      </c>
      <c r="W367" s="11">
        <v>1642.0</v>
      </c>
      <c r="X367" s="11" t="s">
        <v>69</v>
      </c>
      <c r="Y367" s="11" t="s">
        <v>2834</v>
      </c>
      <c r="Z367" s="11">
        <v>1.16185866E9</v>
      </c>
      <c r="AA367" s="11" t="s">
        <v>71</v>
      </c>
      <c r="AB367" s="11"/>
      <c r="AC367" s="11"/>
      <c r="AD367" s="18">
        <v>46287.74524305556</v>
      </c>
      <c r="AE367" s="11" t="s">
        <v>2835</v>
      </c>
      <c r="AF367" s="11" t="s">
        <v>2836</v>
      </c>
      <c r="AG367" s="18">
        <v>46287.87019675926</v>
      </c>
      <c r="AH367" s="18">
        <v>46287.87024305556</v>
      </c>
      <c r="AI367" s="11"/>
      <c r="AJ367" s="18">
        <v>46287.87024305556</v>
      </c>
      <c r="AK367" s="11">
        <v>18253.0</v>
      </c>
      <c r="AL367" s="21" t="s">
        <v>1423</v>
      </c>
      <c r="AM367" s="16"/>
      <c r="AN367" s="16"/>
      <c r="AO367" s="23" t="s">
        <v>2837</v>
      </c>
      <c r="AP367" s="16" t="s">
        <v>76</v>
      </c>
      <c r="AQ367" s="16">
        <v>4034.0</v>
      </c>
      <c r="AR367" s="16"/>
      <c r="AS367" s="11" t="s">
        <v>251</v>
      </c>
      <c r="AT367" s="11" t="s">
        <v>1848</v>
      </c>
      <c r="AU367" s="11" t="s">
        <v>2838</v>
      </c>
      <c r="AV367" s="11">
        <v>5.4222551E7</v>
      </c>
      <c r="AW367" s="11" t="s">
        <v>99</v>
      </c>
      <c r="AX367" s="11">
        <v>1.16185866E9</v>
      </c>
      <c r="AY367" s="11" t="s">
        <v>2834</v>
      </c>
      <c r="AZ367" s="24">
        <v>41845.0</v>
      </c>
      <c r="BA367" s="11" t="s">
        <v>100</v>
      </c>
      <c r="BB367" s="11" t="s">
        <v>81</v>
      </c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</row>
    <row r="368" ht="19.5" customHeight="1">
      <c r="A368" s="10" t="b">
        <v>0</v>
      </c>
      <c r="B368" s="11"/>
      <c r="C368" s="13" t="s">
        <v>59</v>
      </c>
      <c r="D368" s="14" t="s">
        <v>60</v>
      </c>
      <c r="E368" s="11"/>
      <c r="F368" s="15" t="s">
        <v>4</v>
      </c>
      <c r="G368" s="16">
        <v>626.0</v>
      </c>
      <c r="H368" s="16"/>
      <c r="I368" s="16">
        <v>47353.0</v>
      </c>
      <c r="J368" s="11" t="s">
        <v>302</v>
      </c>
      <c r="K368" s="11" t="s">
        <v>62</v>
      </c>
      <c r="L368" s="18">
        <v>46287.77290509259</v>
      </c>
      <c r="M368" s="18">
        <v>46287.77297453704</v>
      </c>
      <c r="N368" s="11" t="s">
        <v>63</v>
      </c>
      <c r="O368" s="11">
        <v>0.0</v>
      </c>
      <c r="P368" s="11" t="s">
        <v>2839</v>
      </c>
      <c r="Q368" s="11" t="s">
        <v>2840</v>
      </c>
      <c r="R368" s="11"/>
      <c r="S368" s="11" t="s">
        <v>2841</v>
      </c>
      <c r="T368" s="11"/>
      <c r="U368" s="11" t="s">
        <v>276</v>
      </c>
      <c r="V368" s="11" t="s">
        <v>126</v>
      </c>
      <c r="W368" s="11">
        <v>1428.0</v>
      </c>
      <c r="X368" s="11" t="s">
        <v>69</v>
      </c>
      <c r="Y368" s="11" t="s">
        <v>2842</v>
      </c>
      <c r="Z368" s="11">
        <v>5.491167024533E12</v>
      </c>
      <c r="AA368" s="11" t="s">
        <v>71</v>
      </c>
      <c r="AB368" s="11"/>
      <c r="AC368" s="11"/>
      <c r="AD368" s="11"/>
      <c r="AE368" s="11" t="s">
        <v>2843</v>
      </c>
      <c r="AF368" s="11" t="s">
        <v>2844</v>
      </c>
      <c r="AG368" s="18">
        <v>46287.89790509259</v>
      </c>
      <c r="AH368" s="18">
        <v>46287.89797453704</v>
      </c>
      <c r="AI368" s="11"/>
      <c r="AJ368" s="11"/>
      <c r="AK368" s="11">
        <v>18253.0</v>
      </c>
      <c r="AL368" s="21" t="s">
        <v>1423</v>
      </c>
      <c r="AM368" s="16"/>
      <c r="AN368" s="14" t="s">
        <v>39</v>
      </c>
      <c r="AO368" s="23"/>
      <c r="AP368" s="16" t="s">
        <v>76</v>
      </c>
      <c r="AQ368" s="16">
        <v>4164.0</v>
      </c>
      <c r="AR368" s="16"/>
      <c r="AS368" s="11" t="s">
        <v>269</v>
      </c>
      <c r="AT368" s="11" t="s">
        <v>2845</v>
      </c>
      <c r="AU368" s="11" t="s">
        <v>2846</v>
      </c>
      <c r="AV368" s="11">
        <v>5.106968E7</v>
      </c>
      <c r="AW368" s="11" t="s">
        <v>79</v>
      </c>
      <c r="AX368" s="11">
        <v>1.167024533E9</v>
      </c>
      <c r="AY368" s="11" t="s">
        <v>2842</v>
      </c>
      <c r="AZ368" s="24">
        <v>40630.0</v>
      </c>
      <c r="BA368" s="11" t="s">
        <v>144</v>
      </c>
      <c r="BB368" s="11" t="s">
        <v>81</v>
      </c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</row>
    <row r="369" ht="19.5" customHeight="1">
      <c r="A369" s="10" t="b">
        <v>0</v>
      </c>
      <c r="B369" s="11"/>
      <c r="C369" s="13" t="s">
        <v>60</v>
      </c>
      <c r="D369" s="14" t="s">
        <v>60</v>
      </c>
      <c r="E369" s="11"/>
      <c r="F369" s="15" t="s">
        <v>4</v>
      </c>
      <c r="G369" s="16">
        <v>634.0</v>
      </c>
      <c r="H369" s="16"/>
      <c r="I369" s="16">
        <v>47365.0</v>
      </c>
      <c r="J369" s="11" t="s">
        <v>61</v>
      </c>
      <c r="K369" s="11" t="s">
        <v>62</v>
      </c>
      <c r="L369" s="18">
        <v>46287.83793981482</v>
      </c>
      <c r="M369" s="18">
        <v>46287.83798611111</v>
      </c>
      <c r="N369" s="11" t="s">
        <v>63</v>
      </c>
      <c r="O369" s="11">
        <v>0.0</v>
      </c>
      <c r="P369" s="11" t="s">
        <v>660</v>
      </c>
      <c r="Q369" s="11" t="s">
        <v>2847</v>
      </c>
      <c r="R369" s="11"/>
      <c r="S369" s="11">
        <v>14.0</v>
      </c>
      <c r="T369" s="11">
        <v>810.0</v>
      </c>
      <c r="U369" s="11" t="s">
        <v>2484</v>
      </c>
      <c r="V369" s="11" t="s">
        <v>68</v>
      </c>
      <c r="W369" s="11">
        <v>1923.0</v>
      </c>
      <c r="X369" s="11" t="s">
        <v>69</v>
      </c>
      <c r="Y369" s="11" t="s">
        <v>2848</v>
      </c>
      <c r="Z369" s="11">
        <v>2.214093643E9</v>
      </c>
      <c r="AA369" s="11" t="s">
        <v>71</v>
      </c>
      <c r="AB369" s="11"/>
      <c r="AC369" s="11"/>
      <c r="AD369" s="11"/>
      <c r="AE369" s="11" t="s">
        <v>2849</v>
      </c>
      <c r="AF369" s="11" t="s">
        <v>2850</v>
      </c>
      <c r="AG369" s="18">
        <v>46287.96293981482</v>
      </c>
      <c r="AH369" s="18">
        <v>46287.96298611111</v>
      </c>
      <c r="AI369" s="11"/>
      <c r="AJ369" s="11"/>
      <c r="AK369" s="11">
        <v>18253.0</v>
      </c>
      <c r="AL369" s="21" t="s">
        <v>1423</v>
      </c>
      <c r="AM369" s="16"/>
      <c r="AN369" s="14" t="s">
        <v>39</v>
      </c>
      <c r="AO369" s="23"/>
      <c r="AP369" s="16" t="s">
        <v>76</v>
      </c>
      <c r="AQ369" s="16">
        <v>3217.0</v>
      </c>
      <c r="AR369" s="16"/>
      <c r="AS369" s="11" t="s">
        <v>433</v>
      </c>
      <c r="AT369" s="11" t="s">
        <v>2851</v>
      </c>
      <c r="AU369" s="11" t="s">
        <v>2847</v>
      </c>
      <c r="AV369" s="11">
        <v>5.2714137E7</v>
      </c>
      <c r="AW369" s="11" t="s">
        <v>79</v>
      </c>
      <c r="AX369" s="11">
        <v>2.214093643E9</v>
      </c>
      <c r="AY369" s="11" t="s">
        <v>2848</v>
      </c>
      <c r="AZ369" s="24">
        <v>41140.0</v>
      </c>
      <c r="BA369" s="11" t="s">
        <v>699</v>
      </c>
      <c r="BB369" s="11" t="s">
        <v>101</v>
      </c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</row>
    <row r="370" ht="19.5" customHeight="1">
      <c r="A370" s="10" t="b">
        <v>0</v>
      </c>
      <c r="B370" s="11"/>
      <c r="C370" s="13" t="s">
        <v>59</v>
      </c>
      <c r="D370" s="14" t="s">
        <v>60</v>
      </c>
      <c r="E370" s="11"/>
      <c r="F370" s="15" t="s">
        <v>4</v>
      </c>
      <c r="G370" s="16">
        <v>641.0</v>
      </c>
      <c r="H370" s="16"/>
      <c r="I370" s="16">
        <v>47372.0</v>
      </c>
      <c r="J370" s="11" t="s">
        <v>61</v>
      </c>
      <c r="K370" s="11" t="s">
        <v>62</v>
      </c>
      <c r="L370" s="18">
        <v>46287.86074074074</v>
      </c>
      <c r="M370" s="18">
        <v>46287.86079861111</v>
      </c>
      <c r="N370" s="11" t="s">
        <v>63</v>
      </c>
      <c r="O370" s="11">
        <v>0.0</v>
      </c>
      <c r="P370" s="11" t="s">
        <v>2852</v>
      </c>
      <c r="Q370" s="11" t="s">
        <v>2853</v>
      </c>
      <c r="R370" s="11"/>
      <c r="S370" s="11" t="s">
        <v>2854</v>
      </c>
      <c r="T370" s="11"/>
      <c r="U370" s="11" t="s">
        <v>1212</v>
      </c>
      <c r="V370" s="11" t="s">
        <v>68</v>
      </c>
      <c r="W370" s="11">
        <v>1640.0</v>
      </c>
      <c r="X370" s="11" t="s">
        <v>69</v>
      </c>
      <c r="Y370" s="11" t="s">
        <v>2855</v>
      </c>
      <c r="Z370" s="11">
        <v>1.149747273E9</v>
      </c>
      <c r="AA370" s="11" t="s">
        <v>71</v>
      </c>
      <c r="AB370" s="11"/>
      <c r="AC370" s="11"/>
      <c r="AD370" s="18">
        <v>46287.86079861111</v>
      </c>
      <c r="AE370" s="11" t="s">
        <v>2856</v>
      </c>
      <c r="AF370" s="11" t="s">
        <v>2857</v>
      </c>
      <c r="AG370" s="18">
        <v>46287.98574074074</v>
      </c>
      <c r="AH370" s="18">
        <v>46287.98579861111</v>
      </c>
      <c r="AI370" s="11"/>
      <c r="AJ370" s="18">
        <v>46287.98579861111</v>
      </c>
      <c r="AK370" s="11">
        <v>18253.0</v>
      </c>
      <c r="AL370" s="21" t="s">
        <v>1423</v>
      </c>
      <c r="AM370" s="16"/>
      <c r="AN370" s="16"/>
      <c r="AO370" s="23" t="s">
        <v>2858</v>
      </c>
      <c r="AP370" s="16" t="s">
        <v>76</v>
      </c>
      <c r="AQ370" s="16">
        <v>3527.0</v>
      </c>
      <c r="AR370" s="16"/>
      <c r="AS370" s="11" t="s">
        <v>298</v>
      </c>
      <c r="AT370" s="11" t="s">
        <v>2859</v>
      </c>
      <c r="AU370" s="11" t="s">
        <v>2853</v>
      </c>
      <c r="AV370" s="11">
        <v>5.2703564E7</v>
      </c>
      <c r="AW370" s="11" t="s">
        <v>99</v>
      </c>
      <c r="AX370" s="11">
        <v>1.149747273E9</v>
      </c>
      <c r="AY370" s="11" t="s">
        <v>2855</v>
      </c>
      <c r="AZ370" s="31">
        <v>41158.0</v>
      </c>
      <c r="BA370" s="11" t="s">
        <v>2860</v>
      </c>
      <c r="BB370" s="11" t="s">
        <v>349</v>
      </c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</row>
    <row r="371" ht="19.5" customHeight="1">
      <c r="A371" s="10" t="b">
        <v>0</v>
      </c>
      <c r="B371" s="11"/>
      <c r="C371" s="13" t="s">
        <v>59</v>
      </c>
      <c r="D371" s="14" t="s">
        <v>60</v>
      </c>
      <c r="E371" s="11"/>
      <c r="F371" s="15" t="s">
        <v>4</v>
      </c>
      <c r="G371" s="16">
        <v>643.0</v>
      </c>
      <c r="H371" s="16"/>
      <c r="I371" s="16">
        <v>47374.0</v>
      </c>
      <c r="J371" s="11" t="s">
        <v>61</v>
      </c>
      <c r="K371" s="11" t="s">
        <v>62</v>
      </c>
      <c r="L371" s="18">
        <v>46287.86864583333</v>
      </c>
      <c r="M371" s="18">
        <v>46287.868680555555</v>
      </c>
      <c r="N371" s="11" t="s">
        <v>63</v>
      </c>
      <c r="O371" s="11">
        <v>0.0</v>
      </c>
      <c r="P371" s="11" t="s">
        <v>2861</v>
      </c>
      <c r="Q371" s="11" t="s">
        <v>2862</v>
      </c>
      <c r="R371" s="11"/>
      <c r="S371" s="11" t="s">
        <v>2863</v>
      </c>
      <c r="T371" s="11"/>
      <c r="U371" s="11" t="s">
        <v>806</v>
      </c>
      <c r="V371" s="11" t="s">
        <v>101</v>
      </c>
      <c r="W371" s="11">
        <v>2107.0</v>
      </c>
      <c r="X371" s="11" t="s">
        <v>69</v>
      </c>
      <c r="Y371" s="11" t="s">
        <v>2864</v>
      </c>
      <c r="Z371" s="11">
        <v>5.43415879438E11</v>
      </c>
      <c r="AA371" s="11" t="s">
        <v>71</v>
      </c>
      <c r="AB371" s="11"/>
      <c r="AC371" s="11"/>
      <c r="AD371" s="11"/>
      <c r="AE371" s="11" t="s">
        <v>2865</v>
      </c>
      <c r="AF371" s="11" t="s">
        <v>2866</v>
      </c>
      <c r="AG371" s="18">
        <v>46287.99364583333</v>
      </c>
      <c r="AH371" s="18">
        <v>46287.993680555555</v>
      </c>
      <c r="AI371" s="11"/>
      <c r="AJ371" s="11"/>
      <c r="AK371" s="11">
        <v>18253.0</v>
      </c>
      <c r="AL371" s="21" t="s">
        <v>1423</v>
      </c>
      <c r="AM371" s="16"/>
      <c r="AN371" s="14" t="s">
        <v>39</v>
      </c>
      <c r="AO371" s="23"/>
      <c r="AP371" s="16" t="s">
        <v>76</v>
      </c>
      <c r="AQ371" s="16">
        <v>4367.0</v>
      </c>
      <c r="AR371" s="16"/>
      <c r="AS371" s="11" t="s">
        <v>810</v>
      </c>
      <c r="AT371" s="11" t="s">
        <v>2867</v>
      </c>
      <c r="AU371" s="11" t="s">
        <v>2862</v>
      </c>
      <c r="AV371" s="11">
        <v>5.3774618E7</v>
      </c>
      <c r="AW371" s="11" t="s">
        <v>79</v>
      </c>
      <c r="AX371" s="11">
        <v>3.415879438E9</v>
      </c>
      <c r="AY371" s="11" t="s">
        <v>2864</v>
      </c>
      <c r="AZ371" s="24">
        <v>41645.0</v>
      </c>
      <c r="BA371" s="11" t="s">
        <v>1220</v>
      </c>
      <c r="BB371" s="11" t="s">
        <v>81</v>
      </c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</row>
    <row r="372" ht="19.5" customHeight="1">
      <c r="A372" s="10" t="b">
        <v>0</v>
      </c>
      <c r="B372" s="11"/>
      <c r="C372" s="13" t="s">
        <v>60</v>
      </c>
      <c r="D372" s="14" t="s">
        <v>60</v>
      </c>
      <c r="E372" s="11"/>
      <c r="F372" s="15" t="s">
        <v>4</v>
      </c>
      <c r="G372" s="16">
        <v>647.0</v>
      </c>
      <c r="H372" s="16"/>
      <c r="I372" s="16">
        <v>47378.0</v>
      </c>
      <c r="J372" s="11" t="s">
        <v>61</v>
      </c>
      <c r="K372" s="11" t="s">
        <v>62</v>
      </c>
      <c r="L372" s="18">
        <v>46287.900358796294</v>
      </c>
      <c r="M372" s="18">
        <v>46287.900405092594</v>
      </c>
      <c r="N372" s="11" t="s">
        <v>63</v>
      </c>
      <c r="O372" s="11">
        <v>0.0</v>
      </c>
      <c r="P372" s="11" t="s">
        <v>2868</v>
      </c>
      <c r="Q372" s="11" t="s">
        <v>2869</v>
      </c>
      <c r="R372" s="11"/>
      <c r="S372" s="11" t="s">
        <v>2870</v>
      </c>
      <c r="T372" s="11"/>
      <c r="U372" s="11" t="s">
        <v>2871</v>
      </c>
      <c r="V372" s="11" t="s">
        <v>68</v>
      </c>
      <c r="W372" s="11">
        <v>1900.0</v>
      </c>
      <c r="X372" s="11" t="s">
        <v>69</v>
      </c>
      <c r="Y372" s="11" t="s">
        <v>2872</v>
      </c>
      <c r="Z372" s="11">
        <v>2.215229881E9</v>
      </c>
      <c r="AA372" s="11" t="s">
        <v>71</v>
      </c>
      <c r="AB372" s="11"/>
      <c r="AC372" s="11"/>
      <c r="AD372" s="18">
        <v>46287.900405092594</v>
      </c>
      <c r="AE372" s="11" t="s">
        <v>2873</v>
      </c>
      <c r="AF372" s="11" t="s">
        <v>2874</v>
      </c>
      <c r="AG372" s="18">
        <v>46288.025358796294</v>
      </c>
      <c r="AH372" s="18">
        <v>46288.025405092594</v>
      </c>
      <c r="AI372" s="11"/>
      <c r="AJ372" s="18">
        <v>46288.025405092594</v>
      </c>
      <c r="AK372" s="11">
        <v>18253.0</v>
      </c>
      <c r="AL372" s="21" t="s">
        <v>1423</v>
      </c>
      <c r="AM372" s="16"/>
      <c r="AN372" s="14" t="s">
        <v>39</v>
      </c>
      <c r="AO372" s="23"/>
      <c r="AP372" s="16" t="s">
        <v>76</v>
      </c>
      <c r="AQ372" s="16">
        <v>3709.0</v>
      </c>
      <c r="AR372" s="16"/>
      <c r="AS372" s="11" t="s">
        <v>433</v>
      </c>
      <c r="AT372" s="11" t="s">
        <v>2454</v>
      </c>
      <c r="AU372" s="11" t="s">
        <v>2875</v>
      </c>
      <c r="AV372" s="11">
        <v>5.2618403E7</v>
      </c>
      <c r="AW372" s="11" t="s">
        <v>79</v>
      </c>
      <c r="AX372" s="11">
        <v>2.215229881E9</v>
      </c>
      <c r="AY372" s="11" t="s">
        <v>2872</v>
      </c>
      <c r="AZ372" s="24">
        <v>41136.0</v>
      </c>
      <c r="BA372" s="11" t="s">
        <v>1827</v>
      </c>
      <c r="BB372" s="11" t="s">
        <v>101</v>
      </c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</row>
    <row r="373" ht="19.5" customHeight="1">
      <c r="A373" s="10" t="b">
        <v>0</v>
      </c>
      <c r="B373" s="11"/>
      <c r="C373" s="13" t="s">
        <v>59</v>
      </c>
      <c r="D373" s="14" t="s">
        <v>60</v>
      </c>
      <c r="E373" s="11"/>
      <c r="F373" s="15" t="s">
        <v>4</v>
      </c>
      <c r="G373" s="16">
        <v>648.0</v>
      </c>
      <c r="H373" s="16"/>
      <c r="I373" s="16">
        <v>47379.0</v>
      </c>
      <c r="J373" s="11" t="s">
        <v>61</v>
      </c>
      <c r="K373" s="11" t="s">
        <v>62</v>
      </c>
      <c r="L373" s="18">
        <v>46287.90446759259</v>
      </c>
      <c r="M373" s="18">
        <v>46287.90451388889</v>
      </c>
      <c r="N373" s="11" t="s">
        <v>63</v>
      </c>
      <c r="O373" s="11">
        <v>0.0</v>
      </c>
      <c r="P373" s="11" t="s">
        <v>2876</v>
      </c>
      <c r="Q373" s="11" t="s">
        <v>2877</v>
      </c>
      <c r="R373" s="11"/>
      <c r="S373" s="11" t="s">
        <v>2878</v>
      </c>
      <c r="T373" s="11"/>
      <c r="U373" s="11" t="s">
        <v>643</v>
      </c>
      <c r="V373" s="11" t="s">
        <v>101</v>
      </c>
      <c r="W373" s="11" t="s">
        <v>1966</v>
      </c>
      <c r="X373" s="11" t="s">
        <v>69</v>
      </c>
      <c r="Y373" s="11" t="s">
        <v>2879</v>
      </c>
      <c r="Z373" s="11">
        <v>5.43415809436E11</v>
      </c>
      <c r="AA373" s="11" t="s">
        <v>71</v>
      </c>
      <c r="AB373" s="11"/>
      <c r="AC373" s="11"/>
      <c r="AD373" s="18">
        <v>46287.90451388889</v>
      </c>
      <c r="AE373" s="11" t="s">
        <v>2880</v>
      </c>
      <c r="AF373" s="11" t="s">
        <v>2881</v>
      </c>
      <c r="AG373" s="18">
        <v>46288.02946759259</v>
      </c>
      <c r="AH373" s="18">
        <v>46288.02951388889</v>
      </c>
      <c r="AI373" s="11"/>
      <c r="AJ373" s="18">
        <v>46288.02951388889</v>
      </c>
      <c r="AK373" s="11">
        <v>18253.0</v>
      </c>
      <c r="AL373" s="21" t="s">
        <v>1423</v>
      </c>
      <c r="AM373" s="16"/>
      <c r="AN373" s="16"/>
      <c r="AO373" s="23"/>
      <c r="AP373" s="16" t="s">
        <v>76</v>
      </c>
      <c r="AQ373" s="16">
        <v>3907.0</v>
      </c>
      <c r="AR373" s="16"/>
      <c r="AS373" s="11" t="s">
        <v>810</v>
      </c>
      <c r="AT373" s="11" t="s">
        <v>717</v>
      </c>
      <c r="AU373" s="11" t="s">
        <v>2882</v>
      </c>
      <c r="AV373" s="11">
        <v>5.3036921E7</v>
      </c>
      <c r="AW373" s="11" t="s">
        <v>99</v>
      </c>
      <c r="AX373" s="11">
        <v>3.415809436E9</v>
      </c>
      <c r="AY373" s="11" t="s">
        <v>2879</v>
      </c>
      <c r="AZ373" s="24">
        <v>41353.0</v>
      </c>
      <c r="BA373" s="11" t="s">
        <v>2883</v>
      </c>
      <c r="BB373" s="11" t="s">
        <v>81</v>
      </c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</row>
    <row r="374" ht="19.5" customHeight="1">
      <c r="A374" s="10" t="b">
        <v>0</v>
      </c>
      <c r="B374" s="11"/>
      <c r="C374" s="13" t="s">
        <v>60</v>
      </c>
      <c r="D374" s="14" t="s">
        <v>60</v>
      </c>
      <c r="E374" s="11"/>
      <c r="F374" s="15" t="s">
        <v>4</v>
      </c>
      <c r="G374" s="16">
        <v>651.0</v>
      </c>
      <c r="H374" s="16"/>
      <c r="I374" s="16">
        <v>47382.0</v>
      </c>
      <c r="J374" s="11" t="s">
        <v>61</v>
      </c>
      <c r="K374" s="11" t="s">
        <v>62</v>
      </c>
      <c r="L374" s="18">
        <v>46288.522835648146</v>
      </c>
      <c r="M374" s="18">
        <v>46288.522835648146</v>
      </c>
      <c r="N374" s="11" t="s">
        <v>63</v>
      </c>
      <c r="O374" s="11">
        <v>0.0</v>
      </c>
      <c r="P374" s="11" t="s">
        <v>2884</v>
      </c>
      <c r="Q374" s="11" t="s">
        <v>2885</v>
      </c>
      <c r="R374" s="11"/>
      <c r="S374" s="11" t="s">
        <v>1389</v>
      </c>
      <c r="T374" s="11"/>
      <c r="U374" s="11" t="s">
        <v>428</v>
      </c>
      <c r="V374" s="11" t="s">
        <v>68</v>
      </c>
      <c r="W374" s="11">
        <v>1900.0</v>
      </c>
      <c r="X374" s="11" t="s">
        <v>69</v>
      </c>
      <c r="Y374" s="11" t="s">
        <v>1602</v>
      </c>
      <c r="Z374" s="11">
        <v>0.0</v>
      </c>
      <c r="AA374" s="11" t="s">
        <v>2886</v>
      </c>
      <c r="AB374" s="11"/>
      <c r="AC374" s="11"/>
      <c r="AD374" s="11"/>
      <c r="AE374" s="11" t="s">
        <v>2887</v>
      </c>
      <c r="AF374" s="11" t="s">
        <v>2888</v>
      </c>
      <c r="AG374" s="18">
        <v>46288.647835648146</v>
      </c>
      <c r="AH374" s="18">
        <v>46288.647835648146</v>
      </c>
      <c r="AI374" s="11"/>
      <c r="AJ374" s="11"/>
      <c r="AK374" s="11">
        <v>18253.0</v>
      </c>
      <c r="AL374" s="21" t="s">
        <v>1423</v>
      </c>
      <c r="AM374" s="16" t="s">
        <v>1426</v>
      </c>
      <c r="AN374" s="14" t="s">
        <v>39</v>
      </c>
      <c r="AO374" s="23"/>
      <c r="AP374" s="16" t="s">
        <v>76</v>
      </c>
      <c r="AQ374" s="16">
        <v>3529.0</v>
      </c>
      <c r="AR374" s="16"/>
      <c r="AS374" s="11" t="s">
        <v>433</v>
      </c>
      <c r="AT374" s="11" t="s">
        <v>2889</v>
      </c>
      <c r="AU374" s="11" t="s">
        <v>1393</v>
      </c>
      <c r="AV374" s="11">
        <v>5.466371E7</v>
      </c>
      <c r="AW374" s="11" t="s">
        <v>79</v>
      </c>
      <c r="AX374" s="11">
        <v>2.21558205E9</v>
      </c>
      <c r="AY374" s="11" t="s">
        <v>1390</v>
      </c>
      <c r="AZ374" s="24">
        <v>42086.0</v>
      </c>
      <c r="BA374" s="11" t="s">
        <v>436</v>
      </c>
      <c r="BB374" s="11" t="s">
        <v>101</v>
      </c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</row>
    <row r="375" ht="19.5" customHeight="1">
      <c r="A375" s="10" t="b">
        <v>0</v>
      </c>
      <c r="B375" s="11"/>
      <c r="C375" s="13" t="s">
        <v>59</v>
      </c>
      <c r="D375" s="14" t="s">
        <v>60</v>
      </c>
      <c r="E375" s="11"/>
      <c r="F375" s="15" t="s">
        <v>4</v>
      </c>
      <c r="G375" s="16">
        <v>652.0</v>
      </c>
      <c r="H375" s="16"/>
      <c r="I375" s="16">
        <v>47383.0</v>
      </c>
      <c r="J375" s="11" t="s">
        <v>61</v>
      </c>
      <c r="K375" s="11" t="s">
        <v>62</v>
      </c>
      <c r="L375" s="18">
        <v>46288.546331018515</v>
      </c>
      <c r="M375" s="18">
        <v>46288.54634259259</v>
      </c>
      <c r="N375" s="11" t="s">
        <v>63</v>
      </c>
      <c r="O375" s="11">
        <v>0.0</v>
      </c>
      <c r="P375" s="11" t="s">
        <v>603</v>
      </c>
      <c r="Q375" s="11" t="s">
        <v>2890</v>
      </c>
      <c r="R375" s="11"/>
      <c r="S375" s="11">
        <v>0.0</v>
      </c>
      <c r="T375" s="11"/>
      <c r="U375" s="11">
        <v>0.0</v>
      </c>
      <c r="V375" s="11" t="s">
        <v>68</v>
      </c>
      <c r="W375" s="11">
        <v>0.0</v>
      </c>
      <c r="X375" s="11" t="s">
        <v>69</v>
      </c>
      <c r="Y375" s="11" t="s">
        <v>2891</v>
      </c>
      <c r="Z375" s="11">
        <v>0.0</v>
      </c>
      <c r="AA375" s="11" t="s">
        <v>187</v>
      </c>
      <c r="AB375" s="11"/>
      <c r="AC375" s="11"/>
      <c r="AD375" s="11"/>
      <c r="AE375" s="11" t="s">
        <v>2892</v>
      </c>
      <c r="AF375" s="11" t="s">
        <v>2893</v>
      </c>
      <c r="AG375" s="18">
        <v>46288.671331018515</v>
      </c>
      <c r="AH375" s="18">
        <v>46288.67134259259</v>
      </c>
      <c r="AI375" s="11"/>
      <c r="AJ375" s="11"/>
      <c r="AK375" s="11">
        <v>18253.0</v>
      </c>
      <c r="AL375" s="21" t="s">
        <v>1423</v>
      </c>
      <c r="AM375" s="16" t="s">
        <v>1426</v>
      </c>
      <c r="AN375" s="16"/>
      <c r="AO375" s="23" t="s">
        <v>1411</v>
      </c>
      <c r="AP375" s="16" t="s">
        <v>76</v>
      </c>
      <c r="AQ375" s="16">
        <v>4125.0</v>
      </c>
      <c r="AR375" s="16"/>
      <c r="AS375" s="11" t="s">
        <v>1753</v>
      </c>
      <c r="AT375" s="11" t="s">
        <v>2894</v>
      </c>
      <c r="AU375" s="11" t="s">
        <v>2890</v>
      </c>
      <c r="AV375" s="11">
        <v>5.4507457E7</v>
      </c>
      <c r="AW375" s="11" t="s">
        <v>99</v>
      </c>
      <c r="AX375" s="11">
        <v>3.400659325E9</v>
      </c>
      <c r="AY375" s="11" t="s">
        <v>2891</v>
      </c>
      <c r="AZ375" s="24">
        <v>42121.0</v>
      </c>
      <c r="BA375" s="11" t="s">
        <v>100</v>
      </c>
      <c r="BB375" s="11" t="s">
        <v>101</v>
      </c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</row>
    <row r="376" ht="19.5" customHeight="1">
      <c r="A376" s="10" t="b">
        <v>0</v>
      </c>
      <c r="B376" s="11"/>
      <c r="C376" s="13" t="s">
        <v>59</v>
      </c>
      <c r="D376" s="14" t="s">
        <v>60</v>
      </c>
      <c r="E376" s="11"/>
      <c r="F376" s="15" t="s">
        <v>4</v>
      </c>
      <c r="G376" s="16">
        <v>653.0</v>
      </c>
      <c r="H376" s="16"/>
      <c r="I376" s="16">
        <v>47384.0</v>
      </c>
      <c r="J376" s="11" t="s">
        <v>61</v>
      </c>
      <c r="K376" s="11" t="s">
        <v>62</v>
      </c>
      <c r="L376" s="18">
        <v>46288.54951388889</v>
      </c>
      <c r="M376" s="18">
        <v>46288.549525462964</v>
      </c>
      <c r="N376" s="11" t="s">
        <v>63</v>
      </c>
      <c r="O376" s="11">
        <v>0.0</v>
      </c>
      <c r="P376" s="11" t="s">
        <v>433</v>
      </c>
      <c r="Q376" s="11" t="s">
        <v>433</v>
      </c>
      <c r="R376" s="11"/>
      <c r="S376" s="11">
        <v>0.0</v>
      </c>
      <c r="T376" s="11"/>
      <c r="U376" s="11">
        <v>0.0</v>
      </c>
      <c r="V376" s="11" t="s">
        <v>68</v>
      </c>
      <c r="W376" s="11">
        <v>0.0</v>
      </c>
      <c r="X376" s="11" t="s">
        <v>69</v>
      </c>
      <c r="Y376" s="11" t="s">
        <v>1602</v>
      </c>
      <c r="Z376" s="11">
        <v>0.0</v>
      </c>
      <c r="AA376" s="11" t="s">
        <v>645</v>
      </c>
      <c r="AB376" s="11"/>
      <c r="AC376" s="11"/>
      <c r="AD376" s="11"/>
      <c r="AE376" s="11" t="s">
        <v>2895</v>
      </c>
      <c r="AF376" s="11" t="s">
        <v>2896</v>
      </c>
      <c r="AG376" s="18">
        <v>46288.67451388889</v>
      </c>
      <c r="AH376" s="18">
        <v>46288.674525462964</v>
      </c>
      <c r="AI376" s="11"/>
      <c r="AJ376" s="11"/>
      <c r="AK376" s="11">
        <v>18253.0</v>
      </c>
      <c r="AL376" s="21" t="s">
        <v>1423</v>
      </c>
      <c r="AM376" s="16"/>
      <c r="AN376" s="16"/>
      <c r="AO376" s="23" t="s">
        <v>1411</v>
      </c>
      <c r="AP376" s="16" t="s">
        <v>76</v>
      </c>
      <c r="AQ376" s="16">
        <v>3453.0</v>
      </c>
      <c r="AR376" s="16"/>
      <c r="AS376" s="11" t="s">
        <v>433</v>
      </c>
      <c r="AT376" s="11" t="s">
        <v>513</v>
      </c>
      <c r="AU376" s="11" t="s">
        <v>2897</v>
      </c>
      <c r="AV376" s="11">
        <v>5.2007717E7</v>
      </c>
      <c r="AW376" s="11" t="s">
        <v>99</v>
      </c>
      <c r="AX376" s="11">
        <v>2.21551126E8</v>
      </c>
      <c r="AY376" s="11" t="s">
        <v>2898</v>
      </c>
      <c r="AZ376" s="24">
        <v>40947.0</v>
      </c>
      <c r="BA376" s="11" t="s">
        <v>436</v>
      </c>
      <c r="BB376" s="11" t="s">
        <v>101</v>
      </c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</row>
    <row r="377" ht="19.5" customHeight="1">
      <c r="A377" s="10" t="b">
        <v>0</v>
      </c>
      <c r="B377" s="10"/>
      <c r="C377" s="13" t="s">
        <v>60</v>
      </c>
      <c r="D377" s="14" t="s">
        <v>60</v>
      </c>
      <c r="E377" s="11"/>
      <c r="F377" s="15" t="s">
        <v>4</v>
      </c>
      <c r="G377" s="16">
        <v>658.0</v>
      </c>
      <c r="H377" s="16"/>
      <c r="I377" s="16">
        <v>47389.0</v>
      </c>
      <c r="J377" s="11" t="s">
        <v>61</v>
      </c>
      <c r="K377" s="11" t="s">
        <v>62</v>
      </c>
      <c r="L377" s="18">
        <v>46288.70966435185</v>
      </c>
      <c r="M377" s="18">
        <v>46288.70967592593</v>
      </c>
      <c r="N377" s="11" t="s">
        <v>63</v>
      </c>
      <c r="O377" s="11">
        <v>0.0</v>
      </c>
      <c r="P377" s="11" t="s">
        <v>690</v>
      </c>
      <c r="Q377" s="11" t="s">
        <v>2899</v>
      </c>
      <c r="R377" s="11"/>
      <c r="S377" s="11">
        <v>0.0</v>
      </c>
      <c r="T377" s="11"/>
      <c r="U377" s="11">
        <v>0.0</v>
      </c>
      <c r="V377" s="11" t="s">
        <v>68</v>
      </c>
      <c r="W377" s="11">
        <v>0.0</v>
      </c>
      <c r="X377" s="11" t="s">
        <v>69</v>
      </c>
      <c r="Y377" s="11" t="s">
        <v>2900</v>
      </c>
      <c r="Z377" s="11" t="s">
        <v>2901</v>
      </c>
      <c r="AA377" s="11" t="s">
        <v>187</v>
      </c>
      <c r="AB377" s="11"/>
      <c r="AC377" s="11"/>
      <c r="AD377" s="11"/>
      <c r="AE377" s="11" t="s">
        <v>2902</v>
      </c>
      <c r="AF377" s="11" t="s">
        <v>2903</v>
      </c>
      <c r="AG377" s="18">
        <v>46288.83466435185</v>
      </c>
      <c r="AH377" s="18">
        <v>46288.83467592593</v>
      </c>
      <c r="AI377" s="11"/>
      <c r="AJ377" s="11"/>
      <c r="AK377" s="11">
        <v>18253.0</v>
      </c>
      <c r="AL377" s="21" t="s">
        <v>1423</v>
      </c>
      <c r="AM377" s="16"/>
      <c r="AN377" s="14" t="s">
        <v>39</v>
      </c>
      <c r="AO377" s="23"/>
      <c r="AP377" s="16" t="s">
        <v>76</v>
      </c>
      <c r="AQ377" s="16">
        <v>4141.0</v>
      </c>
      <c r="AR377" s="16"/>
      <c r="AS377" s="11" t="s">
        <v>218</v>
      </c>
      <c r="AT377" s="11" t="s">
        <v>2904</v>
      </c>
      <c r="AU377" s="11" t="s">
        <v>2899</v>
      </c>
      <c r="AV377" s="11">
        <v>5.4229881E7</v>
      </c>
      <c r="AW377" s="11" t="s">
        <v>79</v>
      </c>
      <c r="AX377" s="11">
        <v>3.329663421E9</v>
      </c>
      <c r="AY377" s="11" t="s">
        <v>2900</v>
      </c>
      <c r="AZ377" s="24">
        <v>41933.0</v>
      </c>
      <c r="BA377" s="11" t="s">
        <v>2905</v>
      </c>
      <c r="BB377" s="11" t="s">
        <v>101</v>
      </c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</row>
    <row r="378" ht="19.5" customHeight="1">
      <c r="A378" s="10" t="b">
        <v>0</v>
      </c>
      <c r="B378" s="11"/>
      <c r="C378" s="13" t="s">
        <v>59</v>
      </c>
      <c r="D378" s="14" t="s">
        <v>60</v>
      </c>
      <c r="E378" s="11"/>
      <c r="F378" s="15" t="s">
        <v>4</v>
      </c>
      <c r="G378" s="14">
        <v>1091.0</v>
      </c>
      <c r="H378" s="16"/>
      <c r="I378" s="32">
        <v>47426.0</v>
      </c>
      <c r="J378" s="33" t="s">
        <v>61</v>
      </c>
      <c r="K378" s="33" t="s">
        <v>62</v>
      </c>
      <c r="L378" s="34">
        <v>46294.51736111111</v>
      </c>
      <c r="M378" s="34">
        <v>46294.51736111111</v>
      </c>
      <c r="N378" s="33" t="s">
        <v>63</v>
      </c>
      <c r="O378" s="32">
        <v>0.0</v>
      </c>
      <c r="P378" s="33" t="s">
        <v>2906</v>
      </c>
      <c r="Q378" s="33" t="s">
        <v>2907</v>
      </c>
      <c r="R378" s="35"/>
      <c r="S378" s="32">
        <v>0.0</v>
      </c>
      <c r="T378" s="35"/>
      <c r="U378" s="32">
        <v>0.0</v>
      </c>
      <c r="V378" s="33" t="s">
        <v>126</v>
      </c>
      <c r="W378" s="32">
        <v>0.0</v>
      </c>
      <c r="X378" s="33" t="s">
        <v>69</v>
      </c>
      <c r="Y378" s="33" t="s">
        <v>1602</v>
      </c>
      <c r="Z378" s="32">
        <v>3.416629941E9</v>
      </c>
      <c r="AA378" s="33" t="s">
        <v>187</v>
      </c>
      <c r="AB378" s="35"/>
      <c r="AC378" s="35"/>
      <c r="AD378" s="46"/>
      <c r="AE378" s="36" t="s">
        <v>2908</v>
      </c>
      <c r="AF378" s="36" t="s">
        <v>2909</v>
      </c>
      <c r="AG378" s="34">
        <v>46294.64236111111</v>
      </c>
      <c r="AH378" s="34">
        <v>46294.64236111111</v>
      </c>
      <c r="AI378" s="35"/>
      <c r="AJ378" s="46"/>
      <c r="AK378" s="32">
        <v>18253.0</v>
      </c>
      <c r="AL378" s="33" t="s">
        <v>1423</v>
      </c>
      <c r="AM378" s="33"/>
      <c r="AN378" s="35"/>
      <c r="AO378" s="33" t="s">
        <v>76</v>
      </c>
      <c r="AP378" s="14" t="s">
        <v>76</v>
      </c>
      <c r="AQ378" s="38">
        <v>4213.0</v>
      </c>
      <c r="AR378" s="35"/>
      <c r="AS378" s="33" t="s">
        <v>810</v>
      </c>
      <c r="AT378" s="33" t="s">
        <v>2867</v>
      </c>
      <c r="AU378" s="33" t="s">
        <v>2910</v>
      </c>
      <c r="AV378" s="32">
        <v>5.2639359E7</v>
      </c>
      <c r="AW378" s="33" t="s">
        <v>79</v>
      </c>
      <c r="AX378" s="32">
        <v>3.416629941E9</v>
      </c>
      <c r="AY378" s="33" t="s">
        <v>2911</v>
      </c>
      <c r="AZ378" s="39">
        <v>41047.0</v>
      </c>
      <c r="BA378" s="33" t="s">
        <v>2912</v>
      </c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</row>
    <row r="379" ht="19.5" customHeight="1">
      <c r="A379" s="10" t="b">
        <v>0</v>
      </c>
      <c r="B379" s="11"/>
      <c r="C379" s="13" t="s">
        <v>59</v>
      </c>
      <c r="D379" s="14" t="s">
        <v>60</v>
      </c>
      <c r="E379" s="11"/>
      <c r="F379" s="15" t="s">
        <v>4</v>
      </c>
      <c r="G379" s="14">
        <v>1092.0</v>
      </c>
      <c r="H379" s="16"/>
      <c r="I379" s="32">
        <v>47419.0</v>
      </c>
      <c r="J379" s="33" t="s">
        <v>61</v>
      </c>
      <c r="K379" s="33" t="s">
        <v>62</v>
      </c>
      <c r="L379" s="34">
        <v>46293.76736111111</v>
      </c>
      <c r="M379" s="34">
        <v>46293.76736111111</v>
      </c>
      <c r="N379" s="33" t="s">
        <v>63</v>
      </c>
      <c r="O379" s="32">
        <v>9.0</v>
      </c>
      <c r="P379" s="33" t="s">
        <v>2913</v>
      </c>
      <c r="Q379" s="33" t="s">
        <v>2914</v>
      </c>
      <c r="R379" s="35"/>
      <c r="S379" s="32">
        <v>0.0</v>
      </c>
      <c r="T379" s="32">
        <v>0.0</v>
      </c>
      <c r="U379" s="32">
        <v>0.0</v>
      </c>
      <c r="V379" s="33" t="s">
        <v>68</v>
      </c>
      <c r="W379" s="32">
        <v>0.0</v>
      </c>
      <c r="X379" s="33" t="s">
        <v>69</v>
      </c>
      <c r="Y379" s="33" t="s">
        <v>1602</v>
      </c>
      <c r="Z379" s="32">
        <v>0.0</v>
      </c>
      <c r="AA379" s="33" t="s">
        <v>187</v>
      </c>
      <c r="AB379" s="35"/>
      <c r="AC379" s="35"/>
      <c r="AD379" s="46"/>
      <c r="AE379" s="36" t="s">
        <v>2915</v>
      </c>
      <c r="AF379" s="36" t="s">
        <v>2916</v>
      </c>
      <c r="AG379" s="34">
        <v>46293.89236111111</v>
      </c>
      <c r="AH379" s="34">
        <v>46293.89236111111</v>
      </c>
      <c r="AI379" s="35"/>
      <c r="AJ379" s="46"/>
      <c r="AK379" s="32">
        <v>18253.0</v>
      </c>
      <c r="AL379" s="33" t="s">
        <v>1423</v>
      </c>
      <c r="AM379" s="33"/>
      <c r="AN379" s="35"/>
      <c r="AO379" s="33" t="s">
        <v>76</v>
      </c>
      <c r="AP379" s="14" t="s">
        <v>76</v>
      </c>
      <c r="AQ379" s="38">
        <v>4090.0</v>
      </c>
      <c r="AR379" s="35"/>
      <c r="AS379" s="33" t="s">
        <v>374</v>
      </c>
      <c r="AT379" s="33" t="s">
        <v>2917</v>
      </c>
      <c r="AU379" s="33" t="s">
        <v>305</v>
      </c>
      <c r="AV379" s="32">
        <v>5.1724781E7</v>
      </c>
      <c r="AW379" s="33" t="s">
        <v>79</v>
      </c>
      <c r="AX379" s="32">
        <v>1.16355946E9</v>
      </c>
      <c r="AY379" s="33" t="s">
        <v>2918</v>
      </c>
      <c r="AZ379" s="39">
        <v>41462.0</v>
      </c>
      <c r="BA379" s="33" t="s">
        <v>100</v>
      </c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</row>
    <row r="380" ht="19.5" customHeight="1">
      <c r="A380" s="10" t="b">
        <v>0</v>
      </c>
      <c r="B380" s="11"/>
      <c r="C380" s="13" t="s">
        <v>60</v>
      </c>
      <c r="D380" s="14" t="s">
        <v>60</v>
      </c>
      <c r="E380" s="11"/>
      <c r="F380" s="15" t="s">
        <v>4</v>
      </c>
      <c r="G380" s="14">
        <v>1094.0</v>
      </c>
      <c r="H380" s="16"/>
      <c r="I380" s="32">
        <v>47407.0</v>
      </c>
      <c r="J380" s="33" t="s">
        <v>61</v>
      </c>
      <c r="K380" s="33" t="s">
        <v>62</v>
      </c>
      <c r="L380" s="34">
        <v>46293.57430555556</v>
      </c>
      <c r="M380" s="34">
        <v>46293.57430555556</v>
      </c>
      <c r="N380" s="33" t="s">
        <v>63</v>
      </c>
      <c r="O380" s="32">
        <v>0.0</v>
      </c>
      <c r="P380" s="33" t="s">
        <v>727</v>
      </c>
      <c r="Q380" s="33" t="s">
        <v>2919</v>
      </c>
      <c r="R380" s="35"/>
      <c r="S380" s="32">
        <v>0.0</v>
      </c>
      <c r="T380" s="32">
        <v>0.0</v>
      </c>
      <c r="U380" s="32">
        <v>0.0</v>
      </c>
      <c r="V380" s="33" t="s">
        <v>68</v>
      </c>
      <c r="W380" s="32">
        <v>0.0</v>
      </c>
      <c r="X380" s="33" t="s">
        <v>69</v>
      </c>
      <c r="Y380" s="33" t="s">
        <v>2920</v>
      </c>
      <c r="Z380" s="32">
        <v>1.144794035E9</v>
      </c>
      <c r="AA380" s="33" t="s">
        <v>187</v>
      </c>
      <c r="AB380" s="35"/>
      <c r="AC380" s="35"/>
      <c r="AD380" s="35"/>
      <c r="AE380" s="36" t="s">
        <v>2921</v>
      </c>
      <c r="AF380" s="36" t="s">
        <v>2922</v>
      </c>
      <c r="AG380" s="34">
        <v>46293.69930555556</v>
      </c>
      <c r="AH380" s="34">
        <v>46293.69930555556</v>
      </c>
      <c r="AI380" s="35"/>
      <c r="AJ380" s="35"/>
      <c r="AK380" s="32">
        <v>18253.0</v>
      </c>
      <c r="AL380" s="33" t="s">
        <v>1423</v>
      </c>
      <c r="AM380" s="33"/>
      <c r="AN380" s="37"/>
      <c r="AO380" s="33" t="s">
        <v>76</v>
      </c>
      <c r="AP380" s="14" t="s">
        <v>76</v>
      </c>
      <c r="AQ380" s="38">
        <v>3634.0</v>
      </c>
      <c r="AR380" s="35"/>
      <c r="AS380" s="33" t="s">
        <v>612</v>
      </c>
      <c r="AT380" s="33" t="s">
        <v>993</v>
      </c>
      <c r="AU380" s="33" t="s">
        <v>2919</v>
      </c>
      <c r="AV380" s="32">
        <v>5.2703218E7</v>
      </c>
      <c r="AW380" s="33" t="s">
        <v>79</v>
      </c>
      <c r="AX380" s="32">
        <v>1.144794035E9</v>
      </c>
      <c r="AY380" s="33" t="s">
        <v>2920</v>
      </c>
      <c r="AZ380" s="39">
        <v>41170.0</v>
      </c>
      <c r="BA380" s="33" t="s">
        <v>2923</v>
      </c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</row>
  </sheetData>
  <autoFilter ref="$A$4:$CS$380">
    <sortState ref="A4:CS380">
      <sortCondition ref="AL4:AL380"/>
      <sortCondition ref="F4:F380"/>
      <sortCondition ref="G4:G380"/>
    </sortState>
  </autoFilter>
  <dataValidations>
    <dataValidation type="list" allowBlank="1" showErrorMessage="1" sqref="D5:D380">
      <formula1>"SI,NO"</formula1>
    </dataValidation>
    <dataValidation type="list" allowBlank="1" showErrorMessage="1" sqref="F5:F380">
      <formula1>"A LA CTA.,PAGO,NO PAGO,BONIF."</formula1>
    </dataValidation>
    <dataValidation type="list" allowBlank="1" showErrorMessage="1" sqref="C5:C380">
      <formula1>"NO,SI"</formula1>
    </dataValidation>
  </dataValidations>
  <hyperlinks>
    <hyperlink r:id="rId1" ref="AE14"/>
    <hyperlink r:id="rId2" ref="AF14"/>
    <hyperlink r:id="rId3" ref="AE157"/>
    <hyperlink r:id="rId4" ref="AF157"/>
    <hyperlink r:id="rId5" ref="AE184"/>
    <hyperlink r:id="rId6" ref="AF184"/>
    <hyperlink r:id="rId7" ref="AE378"/>
    <hyperlink r:id="rId8" ref="AF378"/>
    <hyperlink r:id="rId9" ref="AE379"/>
    <hyperlink r:id="rId10" ref="AF379"/>
    <hyperlink r:id="rId11" ref="AE380"/>
    <hyperlink r:id="rId12" ref="AF380"/>
  </hyperlinks>
  <printOptions/>
  <pageMargins bottom="0.75" footer="0.0" header="0.0" left="0.7" right="0.7" top="0.75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8.75" customHeight="1">
      <c r="A1" s="1"/>
      <c r="B1" s="1" t="s">
        <v>0</v>
      </c>
      <c r="C1" s="1" t="s">
        <v>1</v>
      </c>
      <c r="D1" s="3" t="s">
        <v>2</v>
      </c>
      <c r="E1" s="1" t="s">
        <v>3</v>
      </c>
      <c r="F1" s="3" t="s">
        <v>4</v>
      </c>
      <c r="G1" s="4" t="s">
        <v>5</v>
      </c>
      <c r="H1" s="6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4" t="s">
        <v>38</v>
      </c>
      <c r="AN1" s="4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4" t="s">
        <v>54</v>
      </c>
      <c r="BD1" s="6" t="s">
        <v>45</v>
      </c>
      <c r="BE1" s="6" t="s">
        <v>46</v>
      </c>
      <c r="BF1" s="6" t="s">
        <v>47</v>
      </c>
      <c r="BG1" s="6" t="s">
        <v>52</v>
      </c>
      <c r="BH1" s="6" t="s">
        <v>53</v>
      </c>
      <c r="BI1" s="4" t="s">
        <v>55</v>
      </c>
      <c r="BJ1" s="6" t="s">
        <v>56</v>
      </c>
      <c r="BK1" s="6" t="s">
        <v>46</v>
      </c>
      <c r="BL1" s="6" t="s">
        <v>57</v>
      </c>
      <c r="BM1" s="6" t="s">
        <v>52</v>
      </c>
      <c r="BN1" s="6" t="s">
        <v>53</v>
      </c>
      <c r="BO1" s="6" t="s">
        <v>57</v>
      </c>
      <c r="BP1" s="6" t="s">
        <v>56</v>
      </c>
      <c r="BQ1" s="6" t="s">
        <v>46</v>
      </c>
      <c r="BR1" s="6" t="s">
        <v>57</v>
      </c>
      <c r="BS1" s="6" t="s">
        <v>52</v>
      </c>
      <c r="BT1" s="6" t="s">
        <v>53</v>
      </c>
      <c r="BU1" s="6" t="s">
        <v>57</v>
      </c>
      <c r="BV1" s="6" t="s">
        <v>56</v>
      </c>
      <c r="BW1" s="6" t="s">
        <v>46</v>
      </c>
      <c r="BX1" s="6" t="s">
        <v>57</v>
      </c>
      <c r="BY1" s="6" t="s">
        <v>52</v>
      </c>
      <c r="BZ1" s="6" t="s">
        <v>53</v>
      </c>
      <c r="CA1" s="6" t="s">
        <v>57</v>
      </c>
      <c r="CB1" s="6" t="s">
        <v>56</v>
      </c>
      <c r="CC1" s="6" t="s">
        <v>46</v>
      </c>
      <c r="CD1" s="6" t="s">
        <v>57</v>
      </c>
      <c r="CE1" s="6" t="s">
        <v>52</v>
      </c>
      <c r="CF1" s="6" t="s">
        <v>53</v>
      </c>
      <c r="CG1" s="6" t="s">
        <v>57</v>
      </c>
      <c r="CH1" s="6" t="s">
        <v>56</v>
      </c>
      <c r="CI1" s="6" t="s">
        <v>46</v>
      </c>
      <c r="CJ1" s="6" t="s">
        <v>57</v>
      </c>
      <c r="CK1" s="6" t="s">
        <v>52</v>
      </c>
      <c r="CL1" s="6" t="s">
        <v>53</v>
      </c>
      <c r="CM1" s="6" t="s">
        <v>57</v>
      </c>
      <c r="CN1" s="6" t="s">
        <v>56</v>
      </c>
      <c r="CO1" s="6" t="s">
        <v>46</v>
      </c>
      <c r="CP1" s="6" t="s">
        <v>57</v>
      </c>
      <c r="CQ1" s="6" t="s">
        <v>52</v>
      </c>
      <c r="CR1" s="6" t="s">
        <v>53</v>
      </c>
      <c r="CS1" s="6" t="s">
        <v>57</v>
      </c>
    </row>
    <row r="2" ht="19.5" customHeight="1">
      <c r="A2" s="10" t="b">
        <v>0</v>
      </c>
      <c r="B2" s="11"/>
      <c r="C2" s="13" t="s">
        <v>59</v>
      </c>
      <c r="D2" s="14" t="s">
        <v>60</v>
      </c>
      <c r="E2" s="11"/>
      <c r="F2" s="15" t="s">
        <v>4</v>
      </c>
      <c r="G2" s="16">
        <v>398.0</v>
      </c>
      <c r="H2" s="16"/>
      <c r="I2" s="16">
        <v>47122.0</v>
      </c>
      <c r="J2" s="11" t="s">
        <v>61</v>
      </c>
      <c r="K2" s="11" t="s">
        <v>62</v>
      </c>
      <c r="L2" s="18">
        <v>46286.715775462966</v>
      </c>
      <c r="M2" s="18">
        <v>46286.715844907405</v>
      </c>
      <c r="N2" s="11" t="s">
        <v>63</v>
      </c>
      <c r="O2" s="11">
        <v>0.0</v>
      </c>
      <c r="P2" s="11" t="s">
        <v>64</v>
      </c>
      <c r="Q2" s="11" t="s">
        <v>65</v>
      </c>
      <c r="R2" s="11"/>
      <c r="S2" s="11" t="s">
        <v>66</v>
      </c>
      <c r="T2" s="11"/>
      <c r="U2" s="11" t="s">
        <v>67</v>
      </c>
      <c r="V2" s="11" t="s">
        <v>68</v>
      </c>
      <c r="W2" s="11">
        <v>7600.0</v>
      </c>
      <c r="X2" s="11" t="s">
        <v>69</v>
      </c>
      <c r="Y2" s="11" t="s">
        <v>70</v>
      </c>
      <c r="Z2" s="11">
        <v>5.42235240889E11</v>
      </c>
      <c r="AA2" s="11" t="s">
        <v>71</v>
      </c>
      <c r="AB2" s="11"/>
      <c r="AC2" s="11"/>
      <c r="AD2" s="18">
        <v>46286.715844907405</v>
      </c>
      <c r="AE2" s="11" t="s">
        <v>72</v>
      </c>
      <c r="AF2" s="11" t="s">
        <v>73</v>
      </c>
      <c r="AG2" s="18">
        <v>46286.840775462966</v>
      </c>
      <c r="AH2" s="18">
        <v>46286.840844907405</v>
      </c>
      <c r="AI2" s="11"/>
      <c r="AJ2" s="18">
        <v>46286.840844907405</v>
      </c>
      <c r="AK2" s="11">
        <v>18234.0</v>
      </c>
      <c r="AL2" s="21" t="s">
        <v>75</v>
      </c>
      <c r="AM2" s="16"/>
      <c r="AN2" s="14" t="s">
        <v>39</v>
      </c>
      <c r="AO2" s="23"/>
      <c r="AP2" s="16" t="s">
        <v>76</v>
      </c>
      <c r="AQ2" s="16">
        <v>4132.0</v>
      </c>
      <c r="AR2" s="16"/>
      <c r="AS2" s="11" t="s">
        <v>77</v>
      </c>
      <c r="AT2" s="11" t="s">
        <v>78</v>
      </c>
      <c r="AU2" s="11" t="s">
        <v>65</v>
      </c>
      <c r="AV2" s="11">
        <v>5.4040691E7</v>
      </c>
      <c r="AW2" s="11" t="s">
        <v>79</v>
      </c>
      <c r="AX2" s="11">
        <v>2.235240889E9</v>
      </c>
      <c r="AY2" s="11" t="s">
        <v>70</v>
      </c>
      <c r="AZ2" s="24">
        <v>41786.0</v>
      </c>
      <c r="BA2" s="11" t="s">
        <v>80</v>
      </c>
      <c r="BB2" s="11" t="s">
        <v>81</v>
      </c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</row>
  </sheetData>
  <dataValidations>
    <dataValidation type="list" allowBlank="1" showErrorMessage="1" sqref="D2">
      <formula1>"SI,NO"</formula1>
    </dataValidation>
    <dataValidation type="list" allowBlank="1" showErrorMessage="1" sqref="F2">
      <formula1>"A LA CTA.,PAGO,NO PAGO,BONIF."</formula1>
    </dataValidation>
    <dataValidation type="list" allowBlank="1" showErrorMessage="1" sqref="C2">
      <formula1>"NO,SI"</formula1>
    </dataValidation>
  </dataValidations>
  <drawing r:id="rId1"/>
</worksheet>
</file>